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Avtovek\"/>
    </mc:Choice>
  </mc:AlternateContent>
  <xr:revisionPtr revIDLastSave="0" documentId="13_ncr:1_{AB326E63-CFED-47B9-B3BC-1294EE364C73}" xr6:coauthVersionLast="47" xr6:coauthVersionMax="47" xr10:uidLastSave="{00000000-0000-0000-0000-000000000000}"/>
  <bookViews>
    <workbookView xWindow="-108" yWindow="-108" windowWidth="23256" windowHeight="12576" tabRatio="893" firstSheet="1" activeTab="1" xr2:uid="{00000000-000D-0000-FFFF-FFFF00000000}"/>
  </bookViews>
  <sheets>
    <sheet name="Лист1" sheetId="21" state="hidden" r:id="rId1"/>
    <sheet name="Данные Клиента Продавца и Авто" sheetId="2" r:id="rId2"/>
    <sheet name="Данные Продажи" sheetId="41" r:id="rId3"/>
    <sheet name="Закрывашки" sheetId="20" r:id="rId4"/>
    <sheet name="Карточка ИП" sheetId="22" state="hidden" r:id="rId5"/>
    <sheet name="Агенский договор без зачёта" sheetId="1" r:id="rId6"/>
    <sheet name="Агенский договор в зачёт" sheetId="34" r:id="rId7"/>
    <sheet name="Акт приёма-передачи" sheetId="9" r:id="rId8"/>
    <sheet name="Акт Сдачи услуг" sheetId="10" r:id="rId9"/>
    <sheet name="Отчёт Агента" sheetId="11" r:id="rId10"/>
    <sheet name="Доверенность" sheetId="14" r:id="rId11"/>
    <sheet name="Гарантийное письмо" sheetId="35" r:id="rId12"/>
    <sheet name="ДКП прямой" sheetId="38" r:id="rId13"/>
    <sheet name="ДКП прямой приём" sheetId="39" r:id="rId14"/>
    <sheet name="ДКП прямой продажа" sheetId="40" r:id="rId15"/>
    <sheet name="Отчёт Агента Бухг" sheetId="18" r:id="rId16"/>
    <sheet name="Акт Сдачи услуг Бухг" sheetId="19" r:id="rId17"/>
  </sheets>
  <definedNames>
    <definedName name="_Hlk525116626" localSheetId="5">'Агенский договор без зачёта'!#REF!</definedName>
    <definedName name="_Hlk525116626" localSheetId="6">'Агенский договор в зачёт'!#REF!</definedName>
    <definedName name="_Hlk525116626" localSheetId="7">'Акт приёма-передачи'!#REF!</definedName>
    <definedName name="_Hlk525116626" localSheetId="8">'Акт Сдачи услуг'!#REF!</definedName>
    <definedName name="_Hlk525116626" localSheetId="16">'Акт Сдачи услуг Бухг'!#REF!</definedName>
    <definedName name="_Hlk525116626" localSheetId="10">Доверенность!#REF!</definedName>
    <definedName name="_Hlk525116626" localSheetId="9">'Отчёт Агента'!#REF!</definedName>
    <definedName name="_Hlk525116626" localSheetId="15">'Отчёт Агента Бухг'!#REF!</definedName>
    <definedName name="_Hlk527816735" localSheetId="5">'Агенский договор без зачёта'!#REF!</definedName>
    <definedName name="_Hlk527816735" localSheetId="6">'Агенский договор в зачёт'!#REF!</definedName>
    <definedName name="_Hlk527816735" localSheetId="7">'Акт приёма-передачи'!#REF!</definedName>
    <definedName name="_Hlk527816735" localSheetId="8">'Акт Сдачи услуг'!#REF!</definedName>
    <definedName name="_Hlk527816735" localSheetId="16">'Акт Сдачи услуг Бухг'!#REF!</definedName>
    <definedName name="_Hlk527816735" localSheetId="10">Доверенность!#REF!</definedName>
    <definedName name="_Hlk527816735" localSheetId="9">'Отчёт Агента'!#REF!</definedName>
    <definedName name="_Hlk527816735" localSheetId="15">'Отчёт Агента Бухг'!#REF!</definedName>
    <definedName name="_Hlk529531915" localSheetId="5">'Агенский договор без зачёта'!$A$11</definedName>
    <definedName name="_Hlk529531915" localSheetId="6">'Агенский договор в зачёт'!$A$11</definedName>
    <definedName name="_Hlk529531915" localSheetId="7">'Акт приёма-передачи'!#REF!</definedName>
    <definedName name="_Hlk529531915" localSheetId="8">'Акт Сдачи услуг'!#REF!</definedName>
    <definedName name="_Hlk529531915" localSheetId="16">'Акт Сдачи услуг Бухг'!#REF!</definedName>
    <definedName name="_Hlk529531915" localSheetId="10">Доверенность!$A$11</definedName>
    <definedName name="_Hlk529531915" localSheetId="9">'Отчёт Агента'!#REF!</definedName>
    <definedName name="_Hlk529531915" localSheetId="15">'Отчёт Агента Бухг'!#REF!</definedName>
    <definedName name="_Hlk529531985" localSheetId="5">'Агенский договор без зачёта'!$A$23</definedName>
    <definedName name="_Hlk529531985" localSheetId="6">'Агенский договор в зачёт'!$A$23</definedName>
    <definedName name="_Hlk529531985" localSheetId="7">'Акт приёма-передачи'!#REF!</definedName>
    <definedName name="_Hlk529531985" localSheetId="8">'Акт Сдачи услуг'!#REF!</definedName>
    <definedName name="_Hlk529531985" localSheetId="16">'Акт Сдачи услуг Бухг'!#REF!</definedName>
    <definedName name="_Hlk529531985" localSheetId="10">Доверенность!$A$20</definedName>
    <definedName name="_Hlk529531985" localSheetId="9">'Отчёт Агента'!#REF!</definedName>
    <definedName name="_Hlk529531985" localSheetId="15">'Отчёт Агента Бухг'!#REF!</definedName>
    <definedName name="_Hlk530316288" localSheetId="5">'Агенский договор без зачёта'!$A$10</definedName>
    <definedName name="_Hlk530316288" localSheetId="6">'Агенский договор в зачёт'!$A$10</definedName>
    <definedName name="_Hlk530316288" localSheetId="7">'Акт приёма-передачи'!#REF!</definedName>
    <definedName name="_Hlk530316288" localSheetId="8">'Акт Сдачи услуг'!#REF!</definedName>
    <definedName name="_Hlk530316288" localSheetId="16">'Акт Сдачи услуг Бухг'!#REF!</definedName>
    <definedName name="_Hlk530316288" localSheetId="10">Доверенность!#REF!</definedName>
    <definedName name="_Hlk530316288" localSheetId="9">'Отчёт Агента'!#REF!</definedName>
    <definedName name="_Hlk530316288" localSheetId="15">'Отчёт Агента Бухг'!#REF!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40" l="1"/>
  <c r="AB4" i="40"/>
  <c r="A4" i="38"/>
  <c r="AB4" i="38"/>
  <c r="A138" i="21"/>
  <c r="A36" i="38"/>
  <c r="Z49" i="40"/>
  <c r="G49" i="39"/>
  <c r="N25" i="39"/>
  <c r="A25" i="39"/>
  <c r="N24" i="39"/>
  <c r="A24" i="39"/>
  <c r="N23" i="39"/>
  <c r="A23" i="39"/>
  <c r="N22" i="39"/>
  <c r="A22" i="39"/>
  <c r="N21" i="39"/>
  <c r="A21" i="39"/>
  <c r="N20" i="39"/>
  <c r="A20" i="39"/>
  <c r="N19" i="39"/>
  <c r="A19" i="39"/>
  <c r="N18" i="39"/>
  <c r="A18" i="39"/>
  <c r="N17" i="39"/>
  <c r="A17" i="39"/>
  <c r="N25" i="38"/>
  <c r="Z48" i="38"/>
  <c r="G48" i="38"/>
  <c r="A146" i="21"/>
  <c r="B19" i="41" s="1"/>
  <c r="A147" i="21" s="1"/>
  <c r="A139" i="21"/>
  <c r="A37" i="39"/>
  <c r="N18" i="38"/>
  <c r="N19" i="38"/>
  <c r="N20" i="38"/>
  <c r="N21" i="38"/>
  <c r="N22" i="38"/>
  <c r="N23" i="38"/>
  <c r="N24" i="38"/>
  <c r="N17" i="38"/>
  <c r="A25" i="38"/>
  <c r="A24" i="38"/>
  <c r="A23" i="38"/>
  <c r="A22" i="38"/>
  <c r="A21" i="38"/>
  <c r="A20" i="38"/>
  <c r="A19" i="38"/>
  <c r="A18" i="38"/>
  <c r="A17" i="38"/>
  <c r="U28" i="35"/>
  <c r="A121" i="21"/>
  <c r="A122" i="21"/>
  <c r="A117" i="21"/>
  <c r="A114" i="21"/>
  <c r="B19" i="11"/>
  <c r="A111" i="21"/>
  <c r="A7" i="11"/>
  <c r="A101" i="21"/>
  <c r="A103" i="21"/>
  <c r="Q12" i="9"/>
  <c r="A100" i="21"/>
  <c r="A5" i="10"/>
  <c r="AA52" i="11"/>
  <c r="I27" i="10"/>
  <c r="I46" i="9"/>
  <c r="AA48" i="11"/>
  <c r="AA27" i="10"/>
  <c r="AA46" i="9"/>
  <c r="X27" i="35"/>
  <c r="S21" i="35"/>
  <c r="G15" i="35"/>
  <c r="D15" i="35"/>
  <c r="S27" i="35"/>
  <c r="X26" i="35"/>
  <c r="Y24" i="35"/>
  <c r="A23" i="35"/>
  <c r="P21" i="35"/>
  <c r="T103" i="34"/>
  <c r="K103" i="34"/>
  <c r="G77" i="34"/>
  <c r="T102" i="34"/>
  <c r="B77" i="34"/>
  <c r="O102" i="34"/>
  <c r="AA170" i="34"/>
  <c r="I170" i="34"/>
  <c r="A164" i="34"/>
  <c r="H163" i="34"/>
  <c r="A163" i="34"/>
  <c r="A162" i="34"/>
  <c r="A161" i="34"/>
  <c r="A160" i="34"/>
  <c r="A159" i="34"/>
  <c r="A158" i="34"/>
  <c r="A157" i="34"/>
  <c r="Q36" i="34"/>
  <c r="A36" i="34"/>
  <c r="Q35" i="34"/>
  <c r="Q34" i="34"/>
  <c r="Q33" i="34"/>
  <c r="Q32" i="34"/>
  <c r="Q31" i="34"/>
  <c r="Q30" i="34"/>
  <c r="Q29" i="34"/>
  <c r="Q28" i="34"/>
  <c r="AC2" i="34"/>
  <c r="A2" i="34"/>
  <c r="T1" i="34"/>
  <c r="I152" i="1"/>
  <c r="AA152" i="1"/>
  <c r="H145" i="1"/>
  <c r="A146" i="1"/>
  <c r="A145" i="1"/>
  <c r="A144" i="1"/>
  <c r="A143" i="1"/>
  <c r="A142" i="1"/>
  <c r="A141" i="1"/>
  <c r="A140" i="1"/>
  <c r="A139" i="1"/>
  <c r="A97" i="21"/>
  <c r="A138" i="1"/>
  <c r="A95" i="21"/>
  <c r="A133" i="1"/>
  <c r="A91" i="21"/>
  <c r="A87" i="21"/>
  <c r="A3" i="1"/>
  <c r="A140" i="21"/>
  <c r="A5" i="9"/>
  <c r="A125" i="21"/>
  <c r="A152" i="34"/>
  <c r="A156" i="34"/>
  <c r="A3" i="34"/>
  <c r="T25" i="18"/>
  <c r="AC23" i="18"/>
  <c r="V3" i="11"/>
  <c r="P10" i="18"/>
  <c r="B15" i="19"/>
  <c r="R12" i="19"/>
  <c r="AC3" i="19"/>
  <c r="AC5" i="18"/>
  <c r="AC2" i="14"/>
  <c r="AC4" i="9"/>
  <c r="AC2" i="1"/>
  <c r="A3" i="19"/>
  <c r="A5" i="18"/>
  <c r="A2" i="14"/>
  <c r="A4" i="9"/>
  <c r="A2" i="1"/>
  <c r="A67" i="21"/>
  <c r="A68" i="21"/>
  <c r="T37" i="40"/>
  <c r="T36" i="38"/>
  <c r="A141" i="21"/>
  <c r="A142" i="21"/>
  <c r="A71" i="21"/>
  <c r="A74" i="21"/>
  <c r="A51" i="21"/>
  <c r="A42" i="21"/>
  <c r="A36" i="21"/>
  <c r="A29" i="21"/>
  <c r="A5" i="38"/>
  <c r="A5" i="40"/>
  <c r="A2" i="21"/>
  <c r="B32" i="2" s="1"/>
  <c r="A58" i="21"/>
  <c r="A44" i="21"/>
  <c r="A65" i="21"/>
  <c r="A23" i="9"/>
  <c r="A20" i="14"/>
  <c r="A22" i="9"/>
  <c r="A19" i="14"/>
  <c r="A21" i="9"/>
  <c r="A18" i="14"/>
  <c r="A20" i="9"/>
  <c r="A17" i="14"/>
  <c r="A19" i="9"/>
  <c r="A16" i="14"/>
  <c r="A18" i="9"/>
  <c r="A15" i="14"/>
  <c r="A17" i="9"/>
  <c r="A14" i="14"/>
  <c r="A16" i="9"/>
  <c r="A13" i="14"/>
  <c r="A15" i="9"/>
  <c r="A12" i="14"/>
  <c r="M10" i="18"/>
  <c r="B38" i="2"/>
  <c r="B8" i="20"/>
  <c r="L19" i="18"/>
  <c r="L28" i="18"/>
  <c r="V23" i="18"/>
  <c r="P21" i="18"/>
  <c r="C49" i="18"/>
  <c r="O12" i="19"/>
  <c r="A38" i="18"/>
  <c r="B19" i="18"/>
  <c r="AA30" i="18"/>
  <c r="P40" i="18"/>
  <c r="X30" i="18"/>
  <c r="M40" i="18"/>
  <c r="A36" i="1"/>
  <c r="B47" i="2"/>
  <c r="T1" i="14"/>
  <c r="S3" i="11"/>
  <c r="A38" i="9"/>
  <c r="N12" i="9"/>
  <c r="Q36" i="1"/>
  <c r="Q23" i="9"/>
  <c r="Q20" i="14"/>
  <c r="Q35" i="1"/>
  <c r="Q22" i="9"/>
  <c r="Q19" i="14"/>
  <c r="Q34" i="1"/>
  <c r="Q21" i="9"/>
  <c r="Q18" i="14"/>
  <c r="Q33" i="1"/>
  <c r="Q20" i="9"/>
  <c r="Q17" i="14"/>
  <c r="Q32" i="1"/>
  <c r="Q19" i="9"/>
  <c r="Q16" i="14"/>
  <c r="Q31" i="1"/>
  <c r="Q30" i="1"/>
  <c r="Q17" i="9"/>
  <c r="Q14" i="14"/>
  <c r="Q29" i="1"/>
  <c r="Q16" i="9"/>
  <c r="Q13" i="14"/>
  <c r="Q28" i="1"/>
  <c r="Q15" i="9"/>
  <c r="Q12" i="14"/>
  <c r="T1" i="1"/>
  <c r="A5" i="21" a="1"/>
  <c r="A5" i="21" s="1"/>
  <c r="B39" i="2" s="1"/>
  <c r="A9" i="21" a="1"/>
  <c r="A9" i="21" s="1"/>
  <c r="A10" i="21" a="1"/>
  <c r="A10" i="21" s="1"/>
  <c r="B9" i="20" s="1"/>
  <c r="Q18" i="9"/>
  <c r="Q15" i="14"/>
  <c r="C53" i="18"/>
  <c r="B40" i="2"/>
  <c r="AC25" i="35"/>
  <c r="A8" i="21" a="1"/>
  <c r="A8" i="21" s="1"/>
  <c r="B42" i="2" s="1"/>
  <c r="A26" i="35" s="1"/>
  <c r="A32" i="21" l="1"/>
  <c r="A34" i="21"/>
  <c r="B7" i="20"/>
  <c r="A107" i="21"/>
  <c r="A4" i="14" s="1"/>
  <c r="F38" i="18"/>
  <c r="A25" i="35"/>
  <c r="F38" i="9"/>
  <c r="A90" i="21"/>
  <c r="A92" i="21" s="1"/>
  <c r="A28" i="38"/>
  <c r="A28" i="40"/>
  <c r="M17" i="19"/>
  <c r="N31" i="18"/>
  <c r="A144" i="21" l="1"/>
  <c r="I13" i="19"/>
  <c r="A62" i="21"/>
  <c r="F11" i="18"/>
  <c r="A71" i="1"/>
  <c r="A71" i="3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<sst xmlns="http://schemas.openxmlformats.org/spreadsheetml/2006/main" count="674" uniqueCount="452">
  <si>
    <t>1. ПРЕДМЕТ ДОГОВОРА</t>
  </si>
  <si>
    <t>ИЛИ</t>
  </si>
  <si>
    <t xml:space="preserve">  Иное ----------------------------------------------------------------------------------------.</t>
  </si>
  <si>
    <t>1.4. Принципал гарантирует:</t>
  </si>
  <si>
    <t>2. ПРАВА И ОБЯЗАННОСТИ СТОРОН</t>
  </si>
  <si>
    <t>2.1. Агент обязан:</t>
  </si>
  <si>
    <t>2.2. Принципал обязан:</t>
  </si>
  <si>
    <t>2.2.3. Обеспечить Агента документами и материалами, необходимыми для выполнения поручения.</t>
  </si>
  <si>
    <t>2.2.4. Обеспечить Агента средствами, необходимыми для исполнения поручения.</t>
  </si>
  <si>
    <t>2.2.5. Принять от Агента все исполненное им по настоящему Договору.</t>
  </si>
  <si>
    <t>3. РАСЧЕТЫ СТОРОН</t>
  </si>
  <si>
    <t>4. ФОРС-МАЖОР</t>
  </si>
  <si>
    <t>5. КОНФИДЕНЦИАЛЬНОСТЬ</t>
  </si>
  <si>
    <t>6. РАЗРЕШЕНИЕ СПОРОВ</t>
  </si>
  <si>
    <t>7. ПРОЧИЕ УСЛОВИЯ</t>
  </si>
  <si>
    <t>8. АДРЕСА И ПЛАТЕЖНЫЕ РЕКВИЗИТЫ СТОРОН:</t>
  </si>
  <si>
    <t>ПОДПИСИ СТОРОН:</t>
  </si>
  <si>
    <t>ФИО</t>
  </si>
  <si>
    <t>Серия</t>
  </si>
  <si>
    <t>Дата рождения</t>
  </si>
  <si>
    <t>Фамилия и инициалы</t>
  </si>
  <si>
    <t>Дата договора</t>
  </si>
  <si>
    <t>Кем Выдан</t>
  </si>
  <si>
    <t>Код подразделения</t>
  </si>
  <si>
    <t>Номер телефона</t>
  </si>
  <si>
    <t>Паспортные данные</t>
  </si>
  <si>
    <t>Номер</t>
  </si>
  <si>
    <t>Дата выдачи паспорта</t>
  </si>
  <si>
    <t>Данные Автомобиля</t>
  </si>
  <si>
    <t>Агентский Договор №</t>
  </si>
  <si>
    <t>п. 1.2. настоящего Договора.</t>
  </si>
  <si>
    <t xml:space="preserve">1.2 Характеристики транспортного средства:  </t>
  </si>
  <si>
    <t xml:space="preserve">Идентификационный номер (VIN): </t>
  </si>
  <si>
    <t>Марка, модель:</t>
  </si>
  <si>
    <t xml:space="preserve">Наименование (тип ТС): </t>
  </si>
  <si>
    <t>Категория ТС (A, B, C, D, прицеп):</t>
  </si>
  <si>
    <t>Год изготовления ТС:</t>
  </si>
  <si>
    <t>Шасси (рама):</t>
  </si>
  <si>
    <t>Кузов (кабина, прицеп):</t>
  </si>
  <si>
    <t>Цвет кузова (кабины, прицепа):</t>
  </si>
  <si>
    <t xml:space="preserve">легковой </t>
  </si>
  <si>
    <t>В</t>
  </si>
  <si>
    <t>отсутствует</t>
  </si>
  <si>
    <t>(индивидуальные признаки: голограммы, надписи и т.д.)</t>
  </si>
  <si>
    <t>- что является законным собственником транспортного средства;</t>
  </si>
  <si>
    <t xml:space="preserve">- налоги и обязательные платежи, связанные с наличием на праве собственности транспортного средства, </t>
  </si>
  <si>
    <t>дата выдачи</t>
  </si>
  <si>
    <t xml:space="preserve">именуемый (-ая) в дальнейшем «Принципал», с одной стороны, и Индивидуальный предприниматель </t>
  </si>
  <si>
    <t xml:space="preserve">на принадлежащее Принципалу транспортное средство (автомобиль), указанное в </t>
  </si>
  <si>
    <t xml:space="preserve">1.1. Агент обязуется совершить от имени и за счет Принципала юридические действия по поиску Покупателя </t>
  </si>
  <si>
    <t>действий, которые могут быть следующими:</t>
  </si>
  <si>
    <t xml:space="preserve">Реализацию настоящего договора Агент осуществляет через совершение определенных юридических </t>
  </si>
  <si>
    <t xml:space="preserve">1.1.1. Агент принимает автомобиль Принципала для показа потенциальным покупателям, находит покупателя, </t>
  </si>
  <si>
    <t xml:space="preserve">расчетах или с участием Агента в расчетах. </t>
  </si>
  <si>
    <t xml:space="preserve">при содействии Агента заключается договор между Принципалом и покупателем, без участия Агента в </t>
  </si>
  <si>
    <t xml:space="preserve">1.1.2. Агент принимает автомобиль Принципала для показа потенциальным покупателям, находит покупателя, </t>
  </si>
  <si>
    <t xml:space="preserve">от имени, за счет и в интересах Принципала заключает договор купли-продажи транспортного средства </t>
  </si>
  <si>
    <t>(на условиях поручения) без участия Агента в расчетах или с участием Агента в расчетах. В указанном</t>
  </si>
  <si>
    <t xml:space="preserve">случае Агент предоставляет покупателю для регистрации транспортного средства в органах ГИБДД копию </t>
  </si>
  <si>
    <t xml:space="preserve">настоящего договора, заверенную подписью и печатью Агента, в качестве подтверждения полномочий Агента </t>
  </si>
  <si>
    <t xml:space="preserve">1.3. Транспортное средство продается годным к эксплуатации, в исправном состоянии, вместе со всеми его </t>
  </si>
  <si>
    <t>принадлежностями и со всеми документами (паспортом транспортного средства и другими).</t>
  </si>
  <si>
    <t>будут уплачены им до момента передачи Покупателю;</t>
  </si>
  <si>
    <t>- что передаваемый им автомобиль не является предметом спора, не заложен, не арендован, не обременен</t>
  </si>
  <si>
    <t xml:space="preserve">иными правами, не находится в списках органов МВД в качестве угнанных либо незаконно ввезенных в </t>
  </si>
  <si>
    <t xml:space="preserve">Российскую Федерацию автомобилей, при ввозе в Российскую Федерацию автомобиль был выпущен в </t>
  </si>
  <si>
    <t>свободное обращение и все таможенные платежи были уплачены в полном объеме.</t>
  </si>
  <si>
    <t>При недостоверности указанных выше фактов (обстоятельств) Агент вправе отказаться от настоящего Договора</t>
  </si>
  <si>
    <t>и/или потребовать от Принципала возмещения убытков и иных затрат.</t>
  </si>
  <si>
    <t>1.5. Права и обязанности по сделке, совершенной Агентом, возникают непосредственно у Принципала, хотя</t>
  </si>
  <si>
    <t>Агент может упоминаться в соответствующем Договоре.</t>
  </si>
  <si>
    <t xml:space="preserve">1.6. В случае, если в период действия настоящего Договора либо после его исполнения (передачи автомобиля </t>
  </si>
  <si>
    <t xml:space="preserve">Покупателю) выясниться, что документы на автомобиль содержат недостоверную информацию либо </t>
  </si>
  <si>
    <t xml:space="preserve">автомобиль имеет не заявленные Принципалом дефекты (неисправности), то Принципал несет полную </t>
  </si>
  <si>
    <t>ответственность за причиненные в связи с этим убытки как покупателю автомобиля, так и Агенту.</t>
  </si>
  <si>
    <t xml:space="preserve">1.7. Если иное не определено дополнительным соглашением Сторон, автомобиль передается покупателю </t>
  </si>
  <si>
    <t>Агентом.</t>
  </si>
  <si>
    <t>2.1.1. Исполнять данное ему поручение в соответствии с настоящим Договором. Агент вправе отступить от</t>
  </si>
  <si>
    <t>указаний, если в силу сложившихся обстоятельств это необходимо в интересах Принципала и Агент не мог</t>
  </si>
  <si>
    <t>предварительно запросить разрешение Принципала на отступление от указаний либо не получил в разумный</t>
  </si>
  <si>
    <t>срок ответа на свой запрос. В такой ситуации Агент обязуется уведомить Принципала о допущенных</t>
  </si>
  <si>
    <t>отступлениях, как только это станет возможно.</t>
  </si>
  <si>
    <t>промедления передать ему все полученное в связи с исполнением поручения.</t>
  </si>
  <si>
    <t xml:space="preserve">2.1.2. Сообщать Принципалу по его требованию все сведения о ходе исполнения поручения и без </t>
  </si>
  <si>
    <t>2.1.3. Нести ответственность за сохранность документов и материальных ценностей, переданных ему</t>
  </si>
  <si>
    <t>Принципалом для исполнения поручения.</t>
  </si>
  <si>
    <t xml:space="preserve">2.1.4. Реализовать автомобиль по цене не менее </t>
  </si>
  <si>
    <t>Стоимость цифрами</t>
  </si>
  <si>
    <t>Стоимость прописью в скобках</t>
  </si>
  <si>
    <t>руб.</t>
  </si>
  <si>
    <t>2.1.5. Проводить переговоры и заключить сделку купли-продажи автомобиля от имени и за счет Принципала,</t>
  </si>
  <si>
    <t>либо способствовать заключению сделки.</t>
  </si>
  <si>
    <t>2.1.6. На дату исполнения поручения предоставить Принципалу на подпись акт (отчет), подтверждающий</t>
  </si>
  <si>
    <t>исполнение Агентом поручения по настоящему договору.</t>
  </si>
  <si>
    <t xml:space="preserve">2.1.7. При прекращении настоящего Договора до его исполнения без промедления возвратить Принципалу </t>
  </si>
  <si>
    <t>доверенность, срок действия которой не истек, а также возвратить по акту приемки-передачи автомобиль.</t>
  </si>
  <si>
    <t xml:space="preserve">2.2.1. Передать Агенту автомобиль, указанный в п. 1.2. настоящего Договора, в течение 1 (Одного) дня с даты </t>
  </si>
  <si>
    <t>подписания Сторонами настоящего Договора.</t>
  </si>
  <si>
    <t xml:space="preserve">2.2.2. Выдать Агенту доверенность на совершение юридических действий, предусмотренных настоящим </t>
  </si>
  <si>
    <t>Договором.</t>
  </si>
  <si>
    <t xml:space="preserve">2.3. Принципал вправе отменить поручение, а Агент - отказаться от него во всякое время, предупредив об этом </t>
  </si>
  <si>
    <t>другую Сторону не менее чем за 15 дней.</t>
  </si>
  <si>
    <t xml:space="preserve">3.1. Агент получает автомобиль на реализацию по акту приемки-передачи. Минимальная цена автомобиля, </t>
  </si>
  <si>
    <t>подлежащего реализации в рамках настоящего Договора, указана в п. 2.1.4. настоящего Договора.</t>
  </si>
  <si>
    <t xml:space="preserve">Исходя из конъюнктуры рынка, Агент вправе заключить договор купли-продажи автомобиля по иной цене (но </t>
  </si>
  <si>
    <t xml:space="preserve">не ниже цены, определенной в п. 2.1.4. настоящего договора), если по обстоятельствам дела это необходимо в </t>
  </si>
  <si>
    <t>интересах Принципала.</t>
  </si>
  <si>
    <t xml:space="preserve">3.2. Покупатель, с которым Агент заключает договор купли-продажи от имени Принципала на автомобиль, </t>
  </si>
  <si>
    <t xml:space="preserve">обозначенный в п. 1.2. настоящего договора, производит оплату стоимости автомобиля непосредственно в </t>
  </si>
  <si>
    <t>кассу, либо на расчетный счет Агента.</t>
  </si>
  <si>
    <t xml:space="preserve">3.3. Вознаграждение Агента за выполнение поручения Принципала в целях настоящего Договора составляет </t>
  </si>
  <si>
    <t xml:space="preserve">разницу между минимальной ценой реализации автомобиля, указанной в п. 2.1.4. настоящего Договора, и </t>
  </si>
  <si>
    <t xml:space="preserve">стоимостью автомобиля, указываемой Агентом в договоре купли-продажи, заключаемым с покупателем и </t>
  </si>
  <si>
    <t>полученной Агентом от покупателя.</t>
  </si>
  <si>
    <t xml:space="preserve">3.4. Вознаграждение Агента, указанное в п. 3.3. настоящего Договора, удерживается Агентом из денежных </t>
  </si>
  <si>
    <t>сумм, полученных от покупателя автомобиля, и не подлежит перечислению Принципалу.</t>
  </si>
  <si>
    <t xml:space="preserve">4.1. Стороны освобождаются от частичного или полного исполнения обязательств по настоящему Договору, </t>
  </si>
  <si>
    <t xml:space="preserve">если это неисполнение явилось следствием обстоятельств непреодолимой силы, возникших после </t>
  </si>
  <si>
    <t>органов.</t>
  </si>
  <si>
    <t xml:space="preserve">наводнение, пожар, а также забастовки, правительственные постановления или акты государственных </t>
  </si>
  <si>
    <t xml:space="preserve">оказать влияния и за возникновение которых она не несет ответственности, например землетрясение, </t>
  </si>
  <si>
    <t xml:space="preserve">заключения настоящего Договора в результате событий чрезвычайного характера, которые Стороны не могли </t>
  </si>
  <si>
    <t xml:space="preserve">предотвратить. К обстоятельствам непреодолимой силы относятся события, на которые Сторона не может </t>
  </si>
  <si>
    <t xml:space="preserve">5.1. Условия настоящего Договора, дополнительных соглашений к нему и иная информация, полученная </t>
  </si>
  <si>
    <t>Сторонами в соответствии с настоящим Договором, конфиденциальны и не подлежат разглашению.</t>
  </si>
  <si>
    <t xml:space="preserve">6.1. Все споры и разногласия, которые могут возникнуть между Сторонами по вопросам, не нашедшим своего </t>
  </si>
  <si>
    <t xml:space="preserve">разрешения в тексте настоящего Договора, будут разрешаться путем переговоров на основе действующего </t>
  </si>
  <si>
    <t>законодательства Российской Федерации.</t>
  </si>
  <si>
    <t xml:space="preserve">6.2. При неурегулировании в процессе переговоров спорных вопросов споры разрешаются в суде в порядке, </t>
  </si>
  <si>
    <t>установленном действующим законодательством Российской Федерации.</t>
  </si>
  <si>
    <t xml:space="preserve">7.1. Настоящий Договор вступает в силу с даты его подписания Сторонами и действует до момента исполнения </t>
  </si>
  <si>
    <t>Сторонами всех обязательств по нему.</t>
  </si>
  <si>
    <t xml:space="preserve">7.2. Во всем, что не предусмотрено в настоящем Договоре, Стороны руководствуются действующим </t>
  </si>
  <si>
    <t>законодательством Российской Федерации.</t>
  </si>
  <si>
    <t xml:space="preserve">7.3. Настоящий Договор составлен в двух экземплярах, имеющих одинаковую юридическую силу, по одному </t>
  </si>
  <si>
    <t>для каждой из Сторон.</t>
  </si>
  <si>
    <t xml:space="preserve">7.4. Подписывая настоящий договор, Принципал подтверждает, что дает свое согласие при реализации </t>
  </si>
  <si>
    <t xml:space="preserve">настоящего договора на использование Агентом персональных данных Принципала, а именно: паспортных </t>
  </si>
  <si>
    <t xml:space="preserve">данных, ФИО, год рождения, место проживания (регистрации), сведения о контактных телефонах, месте </t>
  </si>
  <si>
    <t>работы.</t>
  </si>
  <si>
    <t xml:space="preserve"> Принципал:</t>
  </si>
  <si>
    <t>_____________________/</t>
  </si>
  <si>
    <t>/</t>
  </si>
  <si>
    <t>Агент:</t>
  </si>
  <si>
    <t>м.п.</t>
  </si>
  <si>
    <t>от</t>
  </si>
  <si>
    <t>Дата договора на новый автомобиль</t>
  </si>
  <si>
    <t>VIN код нового автомобиля</t>
  </si>
  <si>
    <t>Марка автомобиля</t>
  </si>
  <si>
    <t>АКТ</t>
  </si>
  <si>
    <t>приемки-передачи транспортного средства</t>
  </si>
  <si>
    <t>от Принципала Агенту в рамках Агентского договора</t>
  </si>
  <si>
    <t xml:space="preserve">1. Во исполнение Агентского договора N </t>
  </si>
  <si>
    <t xml:space="preserve">от </t>
  </si>
  <si>
    <t xml:space="preserve">, в целях поиска покупателя на </t>
  </si>
  <si>
    <t>транспортное средство, принадлежащее Принципалу, Принципал передал, а Агент принял автомобиль:</t>
  </si>
  <si>
    <t>2. Осмотром установлено:</t>
  </si>
  <si>
    <t>2.1.  Внешний осмотр _ норма.</t>
  </si>
  <si>
    <t>2.2.  Состояние кузова _ норм.</t>
  </si>
  <si>
    <t>2.3.  Состояние салона _ норма.</t>
  </si>
  <si>
    <t>2.4.  Механическая часть _ норма.</t>
  </si>
  <si>
    <t>2.5.  Комплектация _ норма.</t>
  </si>
  <si>
    <t>3. С автомобилем переданы следующие документы:</t>
  </si>
  <si>
    <t>1) ___ПТС__________________________________________;</t>
  </si>
  <si>
    <t>2) ___ЗИП__________________________________________;</t>
  </si>
  <si>
    <t>3) _________________________________________________;</t>
  </si>
  <si>
    <t>4)__________________________________________________.</t>
  </si>
  <si>
    <t xml:space="preserve">4. Идентификационные номера автомобиля сверены, комплектность автомобиля проверена. </t>
  </si>
  <si>
    <t xml:space="preserve">5. Оценка автомобиля (минимальная цена реализации) определена в размере: </t>
  </si>
  <si>
    <t xml:space="preserve">6. Настоящий Акт составлен в двух экземплярах, имеющих одинаковую юридическую силу, по одному </t>
  </si>
  <si>
    <t>экземпляру для каждой из Сторон.</t>
  </si>
  <si>
    <t>сдачи-приемки услуг агента</t>
  </si>
  <si>
    <t xml:space="preserve">1. В соответствии с Агентским договором N </t>
  </si>
  <si>
    <t xml:space="preserve">Агент реализовал транспортное </t>
  </si>
  <si>
    <t xml:space="preserve">3. Настоящий Акт сдачи-приемки услуг Агента составлен в 2 (двух) экземплярах, по одному для каждой из </t>
  </si>
  <si>
    <t>Сторон, и вступает в силу с даты его подписания Сторонами.</t>
  </si>
  <si>
    <t>ОТЧЕТ АГЕНТА</t>
  </si>
  <si>
    <t>о реализации автомобиля</t>
  </si>
  <si>
    <t>г.</t>
  </si>
  <si>
    <t xml:space="preserve">по исполнению Агентского договора N </t>
  </si>
  <si>
    <t>Во исполнении Агентского договора N</t>
  </si>
  <si>
    <t xml:space="preserve">Агент реализовал транспортное средство </t>
  </si>
  <si>
    <t>Третьему лицу был реализован по договору купли-продажи следующий автомобиль:</t>
  </si>
  <si>
    <t>№ п/п</t>
  </si>
  <si>
    <t>Общая стоимость товара, руб.</t>
  </si>
  <si>
    <t>Дата реализации</t>
  </si>
  <si>
    <t>шт.</t>
  </si>
  <si>
    <t>Итого</t>
  </si>
  <si>
    <t>Един. Изми рения</t>
  </si>
  <si>
    <t>Покупатель (договор, дата, номер)</t>
  </si>
  <si>
    <t>Коли- чест- во</t>
  </si>
  <si>
    <t xml:space="preserve">Сумма агентского вознаграждения, согласно п. 3.3. Агентского договора N </t>
  </si>
  <si>
    <t>за</t>
  </si>
  <si>
    <t>Суммы расходов, которые должен возместить Принципал, отсутствуют.</t>
  </si>
  <si>
    <t xml:space="preserve">Принципалу, согласно указанному Агентскому договору, подлежат перечислению денежные средства за </t>
  </si>
  <si>
    <t>реализованный автомобиль в размере:</t>
  </si>
  <si>
    <t xml:space="preserve">Согласно п. 3.4. Агентского договора N </t>
  </si>
  <si>
    <t xml:space="preserve">, вознаграждение Агента удерживается </t>
  </si>
  <si>
    <t xml:space="preserve">Агентом из денежных сумм, полученных от покупателя автомобиля, и не подлежит перечислению </t>
  </si>
  <si>
    <t>Принципалу.</t>
  </si>
  <si>
    <t xml:space="preserve">Настоящий Отчет составлен в двух экземплярах, по одному для каждой из Сторон. Стороны взаимных </t>
  </si>
  <si>
    <t>претензий не имеют.</t>
  </si>
  <si>
    <t>Отчет сдал</t>
  </si>
  <si>
    <t xml:space="preserve">Агент:	</t>
  </si>
  <si>
    <t>Отчет принял</t>
  </si>
  <si>
    <t>Принципал:</t>
  </si>
  <si>
    <t>ДОВЕРЕННОСТЬ N</t>
  </si>
  <si>
    <t>уполномочивает</t>
  </si>
  <si>
    <t>принадлежащего Доверителю автомобиля:</t>
  </si>
  <si>
    <t xml:space="preserve">в том числе: поиск покупателя, оформление и подписание всех необходимых документов для совершения </t>
  </si>
  <si>
    <t xml:space="preserve">сделки купли-продажи, подписание договора купли-продажи, получение денежных средств от покупателя за </t>
  </si>
  <si>
    <t>реализованный автомобиль, и совершение иных действий, связанных с выполнением данного поручения.</t>
  </si>
  <si>
    <t>Доверитель:</t>
  </si>
  <si>
    <t>(фамилия, имя, отчество прописью полностью, подпись)</t>
  </si>
  <si>
    <t>_____________________________________________________________________________________________________</t>
  </si>
  <si>
    <t>Адрес регистрации</t>
  </si>
  <si>
    <t>Данные указаны верно ______________________</t>
  </si>
  <si>
    <t>Сумма НДС прописью в скобках</t>
  </si>
  <si>
    <t>Стоимость выкупа цифрами</t>
  </si>
  <si>
    <t>Стоимость выкупа прописью в скобках</t>
  </si>
  <si>
    <t>За кого оплатить счёт</t>
  </si>
  <si>
    <t xml:space="preserve">Сумма НДС </t>
  </si>
  <si>
    <t>Данные о продаже</t>
  </si>
  <si>
    <t xml:space="preserve">Покупатель: ФИО либо Организация </t>
  </si>
  <si>
    <t>Сумма продажи</t>
  </si>
  <si>
    <t>Сумма вознаграждения</t>
  </si>
  <si>
    <t>Сумма продажи (прописью)</t>
  </si>
  <si>
    <t>Сумма вознаграждения (прописью)</t>
  </si>
  <si>
    <t>средство Принципала за</t>
  </si>
  <si>
    <t>Договор №</t>
  </si>
  <si>
    <t xml:space="preserve">Принципала за </t>
  </si>
  <si>
    <t>НДС не предусмотрен (ст. 143 НК РФ).</t>
  </si>
  <si>
    <t>реализованный автомобиль, составляет</t>
  </si>
  <si>
    <t>НДС не предусмотрен (УСНО).</t>
  </si>
  <si>
    <t>НДС не предусмотрен (ст. 143 НК РФ), согласно утвержденному Принципалом отчету Агента</t>
  </si>
  <si>
    <t xml:space="preserve"> от</t>
  </si>
  <si>
    <t>2. Вознаграждение Агента составило</t>
  </si>
  <si>
    <t xml:space="preserve"> (</t>
  </si>
  <si>
    <t>Копеек</t>
  </si>
  <si>
    <t xml:space="preserve"> коп.,</t>
  </si>
  <si>
    <t xml:space="preserve">) руб. </t>
  </si>
  <si>
    <t xml:space="preserve">) руб. 00 коп., </t>
  </si>
  <si>
    <t>ПРОБЕГ:</t>
  </si>
  <si>
    <t>Данные для выставления счёта</t>
  </si>
  <si>
    <t>Паспорт ТС / Электронный ПТС / Св-во регистрации ТС (серия, номер, кем выдан, дата выдачи):</t>
  </si>
  <si>
    <t>составил настоящий отчет об исполнении агентского поручения (далее – Отчет) о нижеследующем:</t>
  </si>
  <si>
    <t>Полное Наименование</t>
  </si>
  <si>
    <t>Сокращенное наименование</t>
  </si>
  <si>
    <t>Юридический адрес</t>
  </si>
  <si>
    <t>Фактический адрес</t>
  </si>
  <si>
    <t>Телефон</t>
  </si>
  <si>
    <t>Электронная почта</t>
  </si>
  <si>
    <t>ИНН</t>
  </si>
  <si>
    <t>КПП</t>
  </si>
  <si>
    <t>Р/С</t>
  </si>
  <si>
    <t>К/С</t>
  </si>
  <si>
    <t>БИК</t>
  </si>
  <si>
    <t>Торговля легковыми автомобилямии грузовыми автомобилями малой грузоподъемности</t>
  </si>
  <si>
    <t>ИП ОКИШЕВ АЛЕКСАНДР ВЛАДИМИРОВИЧ</t>
  </si>
  <si>
    <t>autopro0999@gmail.ru</t>
  </si>
  <si>
    <t>044525999</t>
  </si>
  <si>
    <t>№</t>
  </si>
  <si>
    <t>Наименование товара</t>
  </si>
  <si>
    <t>Банк получателя</t>
  </si>
  <si>
    <t>ИНН 663002771545, КПП 770543002, ИП Окишев А.В., 624205, Свердловская область, город Лесной, ул. Ленина, д. 92, кв. 107</t>
  </si>
  <si>
    <t xml:space="preserve"> </t>
  </si>
  <si>
    <t>Индивидуальный предприниматель</t>
  </si>
  <si>
    <t xml:space="preserve">, </t>
  </si>
  <si>
    <t>адрес регистрации:</t>
  </si>
  <si>
    <t>на продажу транспортного средства Принципала.</t>
  </si>
  <si>
    <t>Стоимость автомобиля по Агентскому договору</t>
  </si>
  <si>
    <t>паспорт серии</t>
  </si>
  <si>
    <t>выдан:</t>
  </si>
  <si>
    <t>именуемый(-ая) в дальнейшем "Продавец", от имени и в интересах которого, на основании Агентского договора №</t>
  </si>
  <si>
    <t>действует Индивидуальный предприниматель</t>
  </si>
  <si>
    <t>(</t>
  </si>
  <si>
    <t>)</t>
  </si>
  <si>
    <t>в лице</t>
  </si>
  <si>
    <t>В лице кого</t>
  </si>
  <si>
    <t>с одной стороны</t>
  </si>
  <si>
    <t>именуемый(-ая) в дальнейшем "Покупатель", с другой стороны, заключили настоящий Договор о нижеследующем:</t>
  </si>
  <si>
    <t>2.1. Стоимость автомобиля составляет</t>
  </si>
  <si>
    <t>2.2. Общая сумма договора составляет</t>
  </si>
  <si>
    <t xml:space="preserve"> рублей 00 копеек), без НДС .</t>
  </si>
  <si>
    <t xml:space="preserve">Индивидуального предпринимателя </t>
  </si>
  <si>
    <t>.</t>
  </si>
  <si>
    <t xml:space="preserve">: </t>
  </si>
  <si>
    <t>Покупатель:</t>
  </si>
  <si>
    <t>г.р.</t>
  </si>
  <si>
    <t>Место рождения</t>
  </si>
  <si>
    <t>Продавец:</t>
  </si>
  <si>
    <t xml:space="preserve">По агентскому договору № </t>
  </si>
  <si>
    <t xml:space="preserve">Приложение к договору купли-продажи автомобиля № </t>
  </si>
  <si>
    <t>, именуемый(-ая) в дальнейшем "Покупатель", с другой стороны, составили настоящий акт о нижеследующем:</t>
  </si>
  <si>
    <t xml:space="preserve">именуемый(-ая) в дальнейшем "Продавец", в лице </t>
  </si>
  <si>
    <t xml:space="preserve"> действует Индивидуальный предприниматель </t>
  </si>
  <si>
    <t xml:space="preserve">1. На основании договора купли-продажи </t>
  </si>
  <si>
    <t>Продавец передал, а Покупатель принял автомобиль (в дальнейшем Автомобиль), а именно:</t>
  </si>
  <si>
    <t xml:space="preserve">2. Стоимость автомобиля составляет </t>
  </si>
  <si>
    <t xml:space="preserve"> в т.ч. НДС 0 руб (ноль рублей 00 копеек)</t>
  </si>
  <si>
    <t xml:space="preserve">7. Настоящий акт является приложением к договору купли-продажи автомобиля </t>
  </si>
  <si>
    <t>-первый платеж в размере</t>
  </si>
  <si>
    <t>Покупатель обязуется произвести в день подписания настоящего Договора.</t>
  </si>
  <si>
    <t>-второй платеж в размере</t>
  </si>
  <si>
    <t>- не позднее 3 (трех) банковских дней с момента подписания настоящего Договора.</t>
  </si>
  <si>
    <t>Город</t>
  </si>
  <si>
    <t>Екатеринбург</t>
  </si>
  <si>
    <t>Для Подписей</t>
  </si>
  <si>
    <t>27.03.2022</t>
  </si>
  <si>
    <t>77 УО 666029 Центральная акцизная таможня 12.07.2017</t>
  </si>
  <si>
    <t>02549/2022</t>
  </si>
  <si>
    <t>Lada KS045 Lala Largus</t>
  </si>
  <si>
    <t>XTAKS045LN1455631</t>
  </si>
  <si>
    <t>Хайруллиным Маратом Талгатовичем</t>
  </si>
  <si>
    <t xml:space="preserve">г., </t>
  </si>
  <si>
    <t xml:space="preserve">, номер </t>
  </si>
  <si>
    <t xml:space="preserve">г.р., паспорт серии </t>
  </si>
  <si>
    <t xml:space="preserve">Гр. </t>
  </si>
  <si>
    <t xml:space="preserve">дата выдачи </t>
  </si>
  <si>
    <t xml:space="preserve">Код подразделения: </t>
  </si>
  <si>
    <t xml:space="preserve">, выдан: </t>
  </si>
  <si>
    <t xml:space="preserve">адрес регистрации: </t>
  </si>
  <si>
    <t xml:space="preserve">именуемый в дальнейшем «Агент», с другой стороны, все вместе именуемые Стороны, заключили настоящий договор о нижеследующем: </t>
  </si>
  <si>
    <t xml:space="preserve">8.1. </t>
  </si>
  <si>
    <t xml:space="preserve">8.2. Агент: </t>
  </si>
  <si>
    <t>_____________________</t>
  </si>
  <si>
    <t xml:space="preserve">2.1.6. Перечислить на расчетный счет либо внести в кассу ООО «АВТОВЕК» денежные средства в размере </t>
  </si>
  <si>
    <t xml:space="preserve">минимальной цены автомобиля в счет исполнения обязательств по договору купли-продажи </t>
  </si>
  <si>
    <t xml:space="preserve">кассу, либо на расчетный счет Агента. Агент, на основании настоящего Договора, обязуется перечислить на </t>
  </si>
  <si>
    <t xml:space="preserve">расчетный счет либо внести в кассу ООО «АВТОВЕК» денежные средства в размере минимальной цены </t>
  </si>
  <si>
    <t>автомобиля по договору купли-продажи №</t>
  </si>
  <si>
    <t xml:space="preserve">в качестве оплаты </t>
  </si>
  <si>
    <t>стоимости автомобиля марки</t>
  </si>
  <si>
    <t>VIN:</t>
  </si>
  <si>
    <t>2.1.7. На дату исполнения поручения предоставить Принципалу на подпись акт (отчет), подтверждающий</t>
  </si>
  <si>
    <t xml:space="preserve">2.1.8. При прекращении настоящего Договора до его исполнения без промедления возвратить Принципалу </t>
  </si>
  <si>
    <t xml:space="preserve">7.2. Настоящий Договор может быть прекращен вследствие отмены поручения Принципалом, либо отказа </t>
  </si>
  <si>
    <t>Агента от исполнения поручения.</t>
  </si>
  <si>
    <t xml:space="preserve">7.3. Принципал вправе отменить поручение, а Агент - отказаться от него во всякое время, предупредив об этом </t>
  </si>
  <si>
    <t>другую Сторону не менее чем за 15 дней</t>
  </si>
  <si>
    <t xml:space="preserve">7.4. При расторжении (прекращении действия) настоящего Договора по инициативе Принципала последний </t>
  </si>
  <si>
    <t xml:space="preserve">возвращает Агенту в течение 10 (Десяти) дней сумму денежных средств, перечисленных Агентом в адрес ООО </t>
  </si>
  <si>
    <t xml:space="preserve">«АВТОВЕК» в соответствии с п. 3.2. настоящего Договора. </t>
  </si>
  <si>
    <t xml:space="preserve">Агент, для обеспечения исполнения обязательств, обозначенных в настоящем пункте, в порядке ст. 359 </t>
  </si>
  <si>
    <t xml:space="preserve">Гражданского кодекса Российской Федерации вправе удерживать автомобиль до тех пор, пока данные </t>
  </si>
  <si>
    <t xml:space="preserve">обязательства не будут полностью выполнены Принципалом. В случае невозврата либо неполного возврата </t>
  </si>
  <si>
    <t xml:space="preserve">Принципалом Агенту сумм, указанных в настоящем пункте, в срок, превышающий 30 календарных дней с даты </t>
  </si>
  <si>
    <t xml:space="preserve">расторжения настоящего Договора, Агент вправе получить возмещение указанной суммы посредством </t>
  </si>
  <si>
    <t>реализации автомобиля.</t>
  </si>
  <si>
    <t xml:space="preserve">7.5. Во всем, что не предусмотрено в настоящем Договоре, Стороны руководствуются действующим </t>
  </si>
  <si>
    <t xml:space="preserve">7.6. Настоящий Договор составлен в двух экземплярах, имеющих одинаковую юридическую силу, по одному </t>
  </si>
  <si>
    <t xml:space="preserve">7.7. Подписывая настоящий договор, Принципал подтверждает, что дает свое согласие при реализации </t>
  </si>
  <si>
    <t>Антонов Денис Николаевич</t>
  </si>
  <si>
    <t>Адрес: 620098, г. Екатеринбург, ул. Ярославская, 33 – 2</t>
  </si>
  <si>
    <t>ИНН 667327231596, ОГРНИП 319665800247983</t>
  </si>
  <si>
    <t>Р/с 40802810902500077873 в ТОЧКА ПАО БАНКА "ФК ОТКРЫТИЕ"</t>
  </si>
  <si>
    <t>к/с 30101810845250000999, БИК 044525999</t>
  </si>
  <si>
    <t>Генеральному директору ООО «АВТОВЕК»</t>
  </si>
  <si>
    <t>Русанову Антону Владимировичу</t>
  </si>
  <si>
    <t>620109, г. Екатеринбург, ул. Металлургов, д. 69</t>
  </si>
  <si>
    <t>Исх. №</t>
  </si>
  <si>
    <t>ГАРАНТИЙНОЕ ПИСЬМО</t>
  </si>
  <si>
    <t>В соответствии с агентским договором №</t>
  </si>
  <si>
    <t xml:space="preserve">заключенным между </t>
  </si>
  <si>
    <t>Индивидуальным предпринимателем Антоновым Денисом Николаевичем и гр. РФ</t>
  </si>
  <si>
    <t>, индивидуальный предприниматель Антонов Денис Николаевич</t>
  </si>
  <si>
    <t xml:space="preserve">гарантирует ООО «АВТОВЕК» произвести оплату в размере </t>
  </si>
  <si>
    <t>в том числе НДС в размере</t>
  </si>
  <si>
    <t>за гр. РФ</t>
  </si>
  <si>
    <t xml:space="preserve">по договору купли-продажи автомобиля №  </t>
  </si>
  <si>
    <t>заключенному между ООО «АВТОВЕК» и гр. РФ</t>
  </si>
  <si>
    <t>С уважением,</t>
  </si>
  <si>
    <t>Д.Н. Антонов</t>
  </si>
  <si>
    <t>ИП АНТОНОВ ДЕНИС НИКОЛАЕВИЧ</t>
  </si>
  <si>
    <t>ИП Антонов Д.Н.</t>
  </si>
  <si>
    <t>Антонова Дениса Николаевича</t>
  </si>
  <si>
    <t>Антонов Д.Н.</t>
  </si>
  <si>
    <t>620098, г. Екатеринбург, ул. Ярославская, д. 33, кв. 2</t>
  </si>
  <si>
    <t>620109, г. Екатеринбург, ул. Металургов, д. 69</t>
  </si>
  <si>
    <t>+7 (343) 385 60 38</t>
  </si>
  <si>
    <t>319665800247983</t>
  </si>
  <si>
    <t>667327231596</t>
  </si>
  <si>
    <t>40802810902500077873</t>
  </si>
  <si>
    <t>30101810845250000999</t>
  </si>
  <si>
    <t>ТОЧКА ПАО БАНКА "ФК ОТКРЫТИЕ" г. Москва</t>
  </si>
  <si>
    <t>ОГРНИП</t>
  </si>
  <si>
    <t xml:space="preserve">именуемый в дальнейшем «Агент», с другой стороны, все вместе именуемые Стороны, заключили настоящий акт о нижеследующем: </t>
  </si>
  <si>
    <t xml:space="preserve">на представление интересов Доверителя при продаже не менее чем за </t>
  </si>
  <si>
    <t xml:space="preserve">, именуемый в дальнейшем «Агент», </t>
  </si>
  <si>
    <t xml:space="preserve">Индивидуальный предприниматель </t>
  </si>
  <si>
    <t>03042022/-1</t>
  </si>
  <si>
    <t>03.04.2022</t>
  </si>
  <si>
    <t xml:space="preserve">Договор с </t>
  </si>
  <si>
    <t xml:space="preserve">с одной стороны, </t>
  </si>
  <si>
    <t xml:space="preserve">действуещего на основании </t>
  </si>
  <si>
    <t xml:space="preserve">юридический адрес: </t>
  </si>
  <si>
    <t>С кем заключён Агентский договор</t>
  </si>
  <si>
    <t>С кем заключён договор с ООО "АВТОВЕК"</t>
  </si>
  <si>
    <t xml:space="preserve">Договор </t>
  </si>
  <si>
    <t>купли-продажи автомобиля</t>
  </si>
  <si>
    <t>Продавец продал, а Покупатель купил автомобиль:</t>
  </si>
  <si>
    <t xml:space="preserve">1.      До настоящего времени проданный автомобиль никому не продан, не заложен, под запрещением и арестом не состоит.      </t>
  </si>
  <si>
    <t>Реквизиты и подписи сторон</t>
  </si>
  <si>
    <t>_________________</t>
  </si>
  <si>
    <t xml:space="preserve">место рождения: </t>
  </si>
  <si>
    <t xml:space="preserve">г.р., </t>
  </si>
  <si>
    <t xml:space="preserve">паспорт серии </t>
  </si>
  <si>
    <t xml:space="preserve">№ </t>
  </si>
  <si>
    <t xml:space="preserve">выдан </t>
  </si>
  <si>
    <t xml:space="preserve">код подразделения </t>
  </si>
  <si>
    <t xml:space="preserve">зарегестрированный по адресу: </t>
  </si>
  <si>
    <t xml:space="preserve">именуемый в дальнейшем "Продавец" с одной стороны, и </t>
  </si>
  <si>
    <t xml:space="preserve">именуемый в дальнейшем "Покупатель" с другой стороны, заключили договор о нижеследующем: </t>
  </si>
  <si>
    <t xml:space="preserve">Указанный автомобиль продан Продавцом за </t>
  </si>
  <si>
    <t>№ Договора на новый авто</t>
  </si>
  <si>
    <t>Номер договора авто с пробегом</t>
  </si>
  <si>
    <t>Номер договора агентский</t>
  </si>
  <si>
    <t>83</t>
  </si>
  <si>
    <t>Хайруллина Марата Талгатовича</t>
  </si>
  <si>
    <t>Доверенность   выдана   сроком до «31» декабря 2022 года без права передоверия.</t>
  </si>
  <si>
    <t>Данные Агентского Договора</t>
  </si>
  <si>
    <t>Данные Клиента / Продавца</t>
  </si>
  <si>
    <t>Паспортные Данные</t>
  </si>
  <si>
    <t>ФИО / Организация</t>
  </si>
  <si>
    <t>Данные Договора</t>
  </si>
  <si>
    <t>Данные Покупателя</t>
  </si>
  <si>
    <t>Фамилия И.О.</t>
  </si>
  <si>
    <t>Фамилия Имя Отчество</t>
  </si>
  <si>
    <t>дд.мм.гггг</t>
  </si>
  <si>
    <t>0000</t>
  </si>
  <si>
    <t>000000</t>
  </si>
  <si>
    <t>Полностью как в паспорте</t>
  </si>
  <si>
    <t>000-000</t>
  </si>
  <si>
    <t>Область, город, улица, дом, корпус, квартира</t>
  </si>
  <si>
    <t>VIN</t>
  </si>
  <si>
    <t>Марка, модель</t>
  </si>
  <si>
    <t>гггг</t>
  </si>
  <si>
    <t>Цвет авто как в ПТС</t>
  </si>
  <si>
    <t>0</t>
  </si>
  <si>
    <t>0810</t>
  </si>
  <si>
    <t>19.09.2022</t>
  </si>
  <si>
    <t>Сумма Выкупа / Продажи</t>
  </si>
  <si>
    <t>Швецов Е.М.</t>
  </si>
  <si>
    <t>Швецов Евгений Мизайлович</t>
  </si>
  <si>
    <t>23.07.1981</t>
  </si>
  <si>
    <t>гор. Свердловск</t>
  </si>
  <si>
    <t>6504</t>
  </si>
  <si>
    <t>426241</t>
  </si>
  <si>
    <t>Орджоникидзевским РУВД города Екатеринбурга</t>
  </si>
  <si>
    <t>30.07.2003</t>
  </si>
  <si>
    <t>662-007</t>
  </si>
  <si>
    <t>Свердловская область г. Екатеринбург пер. Симбирский д. 2/4, кв. 115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</si>
</sst>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#,##0.00\ &quot;₽&quot;"/>
    <numFmt numFmtId="165" formatCode="[$-F800]dddd\,\ mmmm\ dd\,\ yyyy"/>
    <numFmt numFmtId="166" formatCode="_-* #,##0_-;\-* #,##0_-;_-* &quot;-&quot;??_-;_-@_-"/>
    <numFmt numFmtId="167" formatCode="000000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b/>
      <sz val="11"/>
      <color rgb="FF006100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0"/>
      <color indexed="12"/>
      <name val="Arial Cyr"/>
      <charset val="204"/>
    </font>
    <font>
      <sz val="10"/>
      <name val="Arial Cyr"/>
      <charset val="204"/>
    </font>
    <font>
      <b/>
      <i/>
      <sz val="24"/>
      <color theme="1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sz val="11"/>
      <color theme="1"/>
      <name val="Arial"/>
      <family val="2"/>
      <charset val="204"/>
    </font>
    <font>
      <b/>
      <sz val="1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b/>
      <sz val="11"/>
      <color rgb="FF000000"/>
      <name val="Times New Roman"/>
      <family val="1"/>
      <charset val="204"/>
    </font>
  </fonts>
  <fills count="1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8">
    <xf numFmtId="0" fontId="0" fillId="0" borderId="0"/>
    <xf numFmtId="0" fontId="13" fillId="2" borderId="0" applyNumberFormat="0" applyBorder="0" applyAlignment="0" applyProtection="0"/>
    <xf numFmtId="0" fontId="11" fillId="4" borderId="0" applyNumberFormat="0" applyBorder="0" applyAlignment="0" applyProtection="0"/>
    <xf numFmtId="0" fontId="11" fillId="5" borderId="0" applyNumberFormat="0" applyBorder="0" applyAlignment="0" applyProtection="0"/>
    <xf numFmtId="43" fontId="21" fillId="0" borderId="0" applyFont="0" applyFill="0" applyBorder="0" applyAlignment="0" applyProtection="0"/>
    <xf numFmtId="0" fontId="22" fillId="0" borderId="0" applyNumberFormat="0" applyFill="0" applyBorder="0" applyAlignment="0" applyProtection="0"/>
    <xf numFmtId="0" fontId="24" fillId="0" borderId="0"/>
    <xf numFmtId="0" fontId="23" fillId="0" borderId="0" applyNumberFormat="0" applyFill="0" applyBorder="0" applyAlignment="0" applyProtection="0">
      <alignment vertical="top"/>
      <protection locked="0"/>
    </xf>
  </cellStyleXfs>
  <cellXfs count="180">
    <xf numFmtId="0" fontId="0" fillId="0" borderId="0" xfId="0"/>
    <xf numFmtId="0" fontId="15" fillId="0" borderId="0" xfId="0" applyFont="1"/>
    <xf numFmtId="0" fontId="14" fillId="0" borderId="0" xfId="0" applyFont="1"/>
    <xf numFmtId="0" fontId="14" fillId="0" borderId="0" xfId="0" applyFont="1" applyAlignment="1">
      <alignment horizontal="center"/>
    </xf>
    <xf numFmtId="0" fontId="17" fillId="2" borderId="1" xfId="1" applyFont="1" applyBorder="1"/>
    <xf numFmtId="0" fontId="12" fillId="0" borderId="0" xfId="0" applyFont="1"/>
    <xf numFmtId="0" fontId="19" fillId="0" borderId="0" xfId="0" applyFont="1"/>
    <xf numFmtId="0" fontId="12" fillId="0" borderId="0" xfId="0" applyFont="1" applyAlignment="1">
      <alignment horizontal="center"/>
    </xf>
    <xf numFmtId="0" fontId="12" fillId="0" borderId="0" xfId="0" applyFont="1" applyAlignment="1">
      <alignment vertical="center"/>
    </xf>
    <xf numFmtId="49" fontId="12" fillId="0" borderId="0" xfId="0" applyNumberFormat="1" applyFont="1"/>
    <xf numFmtId="0" fontId="20" fillId="0" borderId="0" xfId="0" applyFont="1"/>
    <xf numFmtId="0" fontId="12" fillId="0" borderId="9" xfId="0" applyFont="1" applyBorder="1"/>
    <xf numFmtId="0" fontId="14" fillId="3" borderId="1" xfId="0" applyFont="1" applyFill="1" applyBorder="1" applyAlignment="1">
      <alignment horizontal="left"/>
    </xf>
    <xf numFmtId="0" fontId="14" fillId="3" borderId="1" xfId="0" applyFont="1" applyFill="1" applyBorder="1"/>
    <xf numFmtId="14" fontId="14" fillId="3" borderId="1" xfId="0" applyNumberFormat="1" applyFont="1" applyFill="1" applyBorder="1" applyAlignment="1">
      <alignment horizontal="left"/>
    </xf>
    <xf numFmtId="0" fontId="14" fillId="3" borderId="1" xfId="0" applyFont="1" applyFill="1" applyBorder="1" applyAlignment="1">
      <alignment wrapText="1"/>
    </xf>
    <xf numFmtId="164" fontId="14" fillId="3" borderId="1" xfId="0" applyNumberFormat="1" applyFont="1" applyFill="1" applyBorder="1" applyAlignment="1">
      <alignment horizontal="left"/>
    </xf>
    <xf numFmtId="0" fontId="14" fillId="3" borderId="1" xfId="0" applyFont="1" applyFill="1" applyBorder="1" applyAlignment="1">
      <alignment horizontal="left" wrapText="1"/>
    </xf>
    <xf numFmtId="0" fontId="11" fillId="4" borderId="1" xfId="2" applyBorder="1"/>
    <xf numFmtId="0" fontId="14" fillId="0" borderId="9" xfId="0" applyFont="1" applyBorder="1" applyAlignment="1">
      <alignment vertical="center"/>
    </xf>
    <xf numFmtId="0" fontId="14" fillId="0" borderId="4" xfId="0" applyFont="1" applyBorder="1" applyAlignment="1">
      <alignment vertical="center"/>
    </xf>
    <xf numFmtId="0" fontId="14" fillId="0" borderId="0" xfId="0" applyFont="1" applyAlignment="1">
      <alignment vertical="center"/>
    </xf>
    <xf numFmtId="0" fontId="14" fillId="0" borderId="6" xfId="0" applyFont="1" applyBorder="1" applyAlignment="1">
      <alignment vertical="center"/>
    </xf>
    <xf numFmtId="0" fontId="14" fillId="0" borderId="7" xfId="0" applyFont="1" applyBorder="1" applyAlignment="1">
      <alignment vertical="center"/>
    </xf>
    <xf numFmtId="0" fontId="14" fillId="0" borderId="10" xfId="0" applyFont="1" applyBorder="1" applyAlignment="1">
      <alignment vertical="center"/>
    </xf>
    <xf numFmtId="0" fontId="14" fillId="0" borderId="8" xfId="0" applyFont="1" applyBorder="1" applyAlignment="1">
      <alignment vertical="center"/>
    </xf>
    <xf numFmtId="0" fontId="10" fillId="0" borderId="0" xfId="0" applyFont="1"/>
    <xf numFmtId="164" fontId="14" fillId="3" borderId="1" xfId="0" applyNumberFormat="1" applyFont="1" applyFill="1" applyBorder="1" applyAlignment="1">
      <alignment horizontal="left" wrapText="1"/>
    </xf>
    <xf numFmtId="0" fontId="12" fillId="0" borderId="3" xfId="0" applyFont="1" applyBorder="1"/>
    <xf numFmtId="0" fontId="12" fillId="0" borderId="4" xfId="0" applyFont="1" applyBorder="1"/>
    <xf numFmtId="0" fontId="12" fillId="0" borderId="5" xfId="0" applyFont="1" applyBorder="1"/>
    <xf numFmtId="0" fontId="12" fillId="0" borderId="6" xfId="0" applyFont="1" applyBorder="1"/>
    <xf numFmtId="0" fontId="9" fillId="0" borderId="0" xfId="0" applyFont="1"/>
    <xf numFmtId="43" fontId="14" fillId="0" borderId="0" xfId="4" applyFont="1" applyAlignment="1"/>
    <xf numFmtId="14" fontId="14" fillId="0" borderId="0" xfId="0" applyNumberFormat="1" applyFont="1"/>
    <xf numFmtId="164" fontId="14" fillId="6" borderId="1" xfId="0" applyNumberFormat="1" applyFont="1" applyFill="1" applyBorder="1" applyAlignment="1">
      <alignment horizontal="left" wrapText="1"/>
    </xf>
    <xf numFmtId="14" fontId="14" fillId="6" borderId="1" xfId="0" applyNumberFormat="1" applyFont="1" applyFill="1" applyBorder="1" applyAlignment="1">
      <alignment horizontal="left" wrapText="1"/>
    </xf>
    <xf numFmtId="0" fontId="14" fillId="7" borderId="1" xfId="0" applyFont="1" applyFill="1" applyBorder="1" applyAlignment="1">
      <alignment horizontal="left" wrapText="1"/>
    </xf>
    <xf numFmtId="0" fontId="8" fillId="4" borderId="1" xfId="2" applyFont="1" applyBorder="1"/>
    <xf numFmtId="164" fontId="14" fillId="5" borderId="1" xfId="3" applyNumberFormat="1" applyFont="1" applyBorder="1" applyAlignment="1">
      <alignment horizontal="left"/>
    </xf>
    <xf numFmtId="49" fontId="14" fillId="3" borderId="1" xfId="0" applyNumberFormat="1" applyFont="1" applyFill="1" applyBorder="1" applyAlignment="1">
      <alignment horizontal="left"/>
    </xf>
    <xf numFmtId="0" fontId="17" fillId="2" borderId="1" xfId="1" applyFont="1" applyBorder="1" applyAlignment="1">
      <alignment horizontal="right"/>
    </xf>
    <xf numFmtId="0" fontId="14" fillId="3" borderId="1" xfId="0" applyFont="1" applyFill="1" applyBorder="1" applyAlignment="1">
      <alignment vertical="center" wrapText="1"/>
    </xf>
    <xf numFmtId="0" fontId="7" fillId="0" borderId="0" xfId="0" applyFont="1"/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49" fontId="0" fillId="0" borderId="1" xfId="0" applyNumberFormat="1" applyBorder="1" applyAlignment="1">
      <alignment wrapText="1"/>
    </xf>
    <xf numFmtId="49" fontId="22" fillId="0" borderId="1" xfId="5" applyNumberFormat="1" applyBorder="1" applyAlignment="1">
      <alignment wrapText="1"/>
    </xf>
    <xf numFmtId="0" fontId="6" fillId="0" borderId="0" xfId="0" applyFont="1"/>
    <xf numFmtId="49" fontId="0" fillId="0" borderId="0" xfId="0" applyNumberFormat="1"/>
    <xf numFmtId="167" fontId="0" fillId="0" borderId="0" xfId="0" applyNumberFormat="1" applyAlignment="1">
      <alignment wrapText="1"/>
    </xf>
    <xf numFmtId="0" fontId="17" fillId="2" borderId="12" xfId="1" applyFont="1" applyBorder="1"/>
    <xf numFmtId="0" fontId="0" fillId="3" borderId="0" xfId="0" applyFill="1"/>
    <xf numFmtId="0" fontId="0" fillId="0" borderId="0" xfId="0" applyAlignment="1">
      <alignment horizontal="left"/>
    </xf>
    <xf numFmtId="0" fontId="5" fillId="0" borderId="0" xfId="0" applyFont="1"/>
    <xf numFmtId="0" fontId="5" fillId="0" borderId="9" xfId="0" applyFont="1" applyBorder="1"/>
    <xf numFmtId="0" fontId="4" fillId="0" borderId="0" xfId="0" applyFont="1"/>
    <xf numFmtId="0" fontId="3" fillId="4" borderId="1" xfId="2" applyFont="1" applyBorder="1"/>
    <xf numFmtId="0" fontId="15" fillId="0" borderId="0" xfId="0" applyFont="1" applyAlignment="1">
      <alignment vertical="center"/>
    </xf>
    <xf numFmtId="0" fontId="15" fillId="0" borderId="0" xfId="0" applyFont="1" applyAlignment="1">
      <alignment horizontal="justify" vertical="center"/>
    </xf>
    <xf numFmtId="0" fontId="30" fillId="0" borderId="0" xfId="0" applyFont="1" applyAlignment="1">
      <alignment horizontal="justify" vertical="center"/>
    </xf>
    <xf numFmtId="0" fontId="15" fillId="0" borderId="0" xfId="0" applyFont="1" applyAlignment="1">
      <alignment horizontal="center" vertical="center"/>
    </xf>
    <xf numFmtId="0" fontId="30" fillId="0" borderId="0" xfId="0" applyFont="1" applyAlignment="1">
      <alignment vertical="center" wrapText="1"/>
    </xf>
    <xf numFmtId="0" fontId="31" fillId="0" borderId="0" xfId="0" applyFont="1" applyAlignment="1">
      <alignment vertical="center" wrapText="1"/>
    </xf>
    <xf numFmtId="0" fontId="20" fillId="0" borderId="0" xfId="0" applyFont="1" applyAlignment="1">
      <alignment horizontal="justify" vertical="center"/>
    </xf>
    <xf numFmtId="0" fontId="28" fillId="0" borderId="0" xfId="0" applyFont="1" applyAlignment="1">
      <alignment horizontal="center" vertical="center"/>
    </xf>
    <xf numFmtId="0" fontId="0" fillId="0" borderId="0" xfId="0" applyAlignment="1">
      <alignment vertical="top" wrapText="1"/>
    </xf>
    <xf numFmtId="0" fontId="32" fillId="0" borderId="0" xfId="0" applyFont="1" applyAlignment="1">
      <alignment horizontal="left" vertical="center" wrapText="1"/>
    </xf>
    <xf numFmtId="49" fontId="14" fillId="9" borderId="1" xfId="0" applyNumberFormat="1" applyFont="1" applyFill="1" applyBorder="1" applyAlignment="1">
      <alignment horizontal="left"/>
    </xf>
    <xf numFmtId="49" fontId="14" fillId="9" borderId="1" xfId="0" applyNumberFormat="1" applyFont="1" applyFill="1" applyBorder="1" applyAlignment="1">
      <alignment horizontal="left" wrapText="1"/>
    </xf>
    <xf numFmtId="49" fontId="14" fillId="9" borderId="0" xfId="0" applyNumberFormat="1" applyFont="1" applyFill="1" applyAlignment="1">
      <alignment horizontal="left"/>
    </xf>
    <xf numFmtId="0" fontId="2" fillId="4" borderId="1" xfId="2" applyFont="1" applyBorder="1"/>
    <xf numFmtId="49" fontId="1" fillId="3" borderId="1" xfId="3" applyNumberFormat="1" applyFont="1" applyFill="1" applyBorder="1" applyAlignment="1">
      <alignment horizontal="left"/>
    </xf>
    <xf numFmtId="0" fontId="1" fillId="0" borderId="0" xfId="0" applyFont="1"/>
    <xf numFmtId="0" fontId="14" fillId="6" borderId="0" xfId="0" applyFont="1" applyFill="1"/>
    <xf numFmtId="0" fontId="16" fillId="0" borderId="1" xfId="0" applyFont="1" applyBorder="1" applyAlignment="1">
      <alignment horizontal="center"/>
    </xf>
    <xf numFmtId="0" fontId="17" fillId="3" borderId="11" xfId="1" applyFont="1" applyFill="1" applyBorder="1" applyAlignment="1">
      <alignment horizontal="left" wrapText="1"/>
    </xf>
    <xf numFmtId="0" fontId="17" fillId="3" borderId="2" xfId="1" applyFont="1" applyFill="1" applyBorder="1" applyAlignment="1">
      <alignment horizontal="left" wrapText="1"/>
    </xf>
    <xf numFmtId="49" fontId="14" fillId="3" borderId="11" xfId="0" applyNumberFormat="1" applyFont="1" applyFill="1" applyBorder="1" applyAlignment="1">
      <alignment horizontal="left" vertical="center" wrapText="1"/>
    </xf>
    <xf numFmtId="49" fontId="14" fillId="3" borderId="2" xfId="0" applyNumberFormat="1" applyFont="1" applyFill="1" applyBorder="1" applyAlignment="1">
      <alignment horizontal="left" vertical="center" wrapText="1"/>
    </xf>
    <xf numFmtId="0" fontId="14" fillId="0" borderId="0" xfId="0" applyFont="1" applyAlignment="1">
      <alignment horizontal="center" wrapText="1"/>
    </xf>
    <xf numFmtId="0" fontId="12" fillId="0" borderId="0" xfId="0" applyFont="1" applyAlignment="1">
      <alignment horizontal="center"/>
    </xf>
    <xf numFmtId="0" fontId="14" fillId="0" borderId="0" xfId="0" applyFont="1" applyAlignment="1">
      <alignment vertical="center" wrapText="1"/>
    </xf>
    <xf numFmtId="0" fontId="14" fillId="0" borderId="1" xfId="0" applyFont="1" applyBorder="1" applyAlignment="1">
      <alignment horizontal="left" vertical="top"/>
    </xf>
    <xf numFmtId="0" fontId="14" fillId="0" borderId="1" xfId="0" applyFont="1" applyBorder="1" applyAlignment="1">
      <alignment horizontal="left"/>
    </xf>
    <xf numFmtId="0" fontId="14" fillId="0" borderId="1" xfId="0" applyFont="1" applyBorder="1" applyAlignment="1">
      <alignment horizontal="left" vertical="top" wrapText="1"/>
    </xf>
    <xf numFmtId="0" fontId="12" fillId="0" borderId="0" xfId="0" applyFont="1" applyAlignment="1">
      <alignment vertical="center" wrapText="1"/>
    </xf>
    <xf numFmtId="0" fontId="18" fillId="0" borderId="0" xfId="0" applyFont="1" applyAlignment="1">
      <alignment horizontal="left"/>
    </xf>
    <xf numFmtId="165" fontId="14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14" fillId="0" borderId="2" xfId="0" applyFont="1" applyBorder="1" applyAlignment="1">
      <alignment horizontal="center"/>
    </xf>
    <xf numFmtId="0" fontId="14" fillId="0" borderId="2" xfId="0" applyFont="1" applyBorder="1" applyAlignment="1">
      <alignment horizontal="center" vertical="center"/>
    </xf>
    <xf numFmtId="166" fontId="14" fillId="0" borderId="2" xfId="4" applyNumberFormat="1" applyFont="1" applyBorder="1" applyAlignment="1">
      <alignment horizontal="center"/>
    </xf>
    <xf numFmtId="0" fontId="14" fillId="0" borderId="5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4" fillId="0" borderId="5" xfId="0" applyFont="1" applyBorder="1" applyAlignment="1">
      <alignment horizontal="right" vertical="center"/>
    </xf>
    <xf numFmtId="0" fontId="14" fillId="0" borderId="0" xfId="0" applyFont="1" applyAlignment="1">
      <alignment horizontal="right" vertical="center"/>
    </xf>
    <xf numFmtId="0" fontId="14" fillId="0" borderId="0" xfId="0" applyFont="1" applyAlignment="1">
      <alignment horizontal="left" vertical="center"/>
    </xf>
    <xf numFmtId="0" fontId="14" fillId="0" borderId="6" xfId="0" applyFont="1" applyBorder="1" applyAlignment="1">
      <alignment horizontal="left" vertical="center"/>
    </xf>
    <xf numFmtId="14" fontId="14" fillId="0" borderId="5" xfId="0" applyNumberFormat="1" applyFont="1" applyBorder="1" applyAlignment="1">
      <alignment horizontal="center" vertical="center"/>
    </xf>
    <xf numFmtId="14" fontId="14" fillId="0" borderId="0" xfId="0" applyNumberFormat="1" applyFont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65" fontId="14" fillId="0" borderId="0" xfId="0" applyNumberFormat="1" applyFont="1" applyAlignment="1">
      <alignment horizontal="left" vertical="center"/>
    </xf>
    <xf numFmtId="165" fontId="14" fillId="0" borderId="6" xfId="0" applyNumberFormat="1" applyFont="1" applyBorder="1" applyAlignment="1">
      <alignment horizontal="left" vertical="center"/>
    </xf>
    <xf numFmtId="0" fontId="14" fillId="0" borderId="11" xfId="0" applyFont="1" applyBorder="1" applyAlignment="1">
      <alignment horizontal="center" vertical="center"/>
    </xf>
    <xf numFmtId="0" fontId="14" fillId="0" borderId="12" xfId="0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4" xfId="0" applyFont="1" applyBorder="1" applyAlignment="1">
      <alignment horizontal="center" vertical="center" wrapText="1"/>
    </xf>
    <xf numFmtId="0" fontId="14" fillId="0" borderId="5" xfId="0" applyFont="1" applyBorder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0" xfId="0" applyFont="1" applyBorder="1" applyAlignment="1">
      <alignment horizontal="center" vertical="center" wrapText="1"/>
    </xf>
    <xf numFmtId="0" fontId="14" fillId="0" borderId="8" xfId="0" applyFont="1" applyBorder="1" applyAlignment="1">
      <alignment horizontal="center" vertical="center" wrapText="1"/>
    </xf>
    <xf numFmtId="0" fontId="14" fillId="0" borderId="3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10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166" fontId="14" fillId="0" borderId="3" xfId="4" applyNumberFormat="1" applyFont="1" applyBorder="1" applyAlignment="1">
      <alignment horizontal="center" vertical="center"/>
    </xf>
    <xf numFmtId="166" fontId="14" fillId="0" borderId="9" xfId="4" applyNumberFormat="1" applyFont="1" applyBorder="1" applyAlignment="1">
      <alignment horizontal="center" vertical="center"/>
    </xf>
    <xf numFmtId="166" fontId="14" fillId="0" borderId="4" xfId="4" applyNumberFormat="1" applyFont="1" applyBorder="1" applyAlignment="1">
      <alignment horizontal="center" vertical="center"/>
    </xf>
    <xf numFmtId="166" fontId="14" fillId="0" borderId="5" xfId="4" applyNumberFormat="1" applyFont="1" applyBorder="1" applyAlignment="1">
      <alignment horizontal="center" vertical="center"/>
    </xf>
    <xf numFmtId="166" fontId="14" fillId="0" borderId="0" xfId="4" applyNumberFormat="1" applyFont="1" applyBorder="1" applyAlignment="1">
      <alignment horizontal="center" vertical="center"/>
    </xf>
    <xf numFmtId="166" fontId="14" fillId="0" borderId="6" xfId="4" applyNumberFormat="1" applyFont="1" applyBorder="1" applyAlignment="1">
      <alignment horizontal="center" vertical="center"/>
    </xf>
    <xf numFmtId="166" fontId="14" fillId="0" borderId="7" xfId="4" applyNumberFormat="1" applyFont="1" applyBorder="1" applyAlignment="1">
      <alignment horizontal="center" vertical="center"/>
    </xf>
    <xf numFmtId="166" fontId="14" fillId="0" borderId="10" xfId="4" applyNumberFormat="1" applyFont="1" applyBorder="1" applyAlignment="1">
      <alignment horizontal="center" vertical="center"/>
    </xf>
    <xf numFmtId="166" fontId="14" fillId="0" borderId="8" xfId="4" applyNumberFormat="1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5" fillId="0" borderId="0" xfId="0" applyFont="1" applyAlignment="1">
      <alignment horizontal="right"/>
    </xf>
    <xf numFmtId="49" fontId="14" fillId="0" borderId="0" xfId="0" applyNumberFormat="1" applyFont="1" applyAlignment="1">
      <alignment horizontal="center"/>
    </xf>
    <xf numFmtId="0" fontId="26" fillId="0" borderId="0" xfId="0" applyFont="1" applyAlignment="1">
      <alignment horizontal="center"/>
    </xf>
    <xf numFmtId="164" fontId="14" fillId="0" borderId="0" xfId="0" applyNumberFormat="1" applyFont="1" applyAlignment="1">
      <alignment horizontal="left"/>
    </xf>
    <xf numFmtId="0" fontId="14" fillId="0" borderId="0" xfId="0" applyFont="1" applyAlignment="1">
      <alignment horizontal="right"/>
    </xf>
    <xf numFmtId="0" fontId="14" fillId="0" borderId="0" xfId="0" applyFont="1" applyAlignment="1">
      <alignment horizontal="left"/>
    </xf>
    <xf numFmtId="0" fontId="15" fillId="0" borderId="0" xfId="0" applyFont="1" applyAlignment="1">
      <alignment horizontal="left" vertical="center"/>
    </xf>
    <xf numFmtId="0" fontId="33" fillId="0" borderId="1" xfId="0" applyFont="1" applyBorder="1" applyAlignment="1">
      <alignment horizontal="left" vertical="center" wrapText="1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 wrapText="1"/>
    </xf>
    <xf numFmtId="0" fontId="33" fillId="0" borderId="3" xfId="0" applyFont="1" applyBorder="1" applyAlignment="1">
      <alignment vertical="center" wrapText="1"/>
    </xf>
    <xf numFmtId="0" fontId="33" fillId="0" borderId="9" xfId="0" applyFont="1" applyBorder="1" applyAlignment="1">
      <alignment vertical="center" wrapText="1"/>
    </xf>
    <xf numFmtId="0" fontId="33" fillId="0" borderId="4" xfId="0" applyFont="1" applyBorder="1" applyAlignment="1">
      <alignment vertical="center" wrapText="1"/>
    </xf>
    <xf numFmtId="0" fontId="33" fillId="0" borderId="5" xfId="0" applyFont="1" applyBorder="1" applyAlignment="1">
      <alignment vertical="center" wrapText="1"/>
    </xf>
    <xf numFmtId="0" fontId="33" fillId="0" borderId="0" xfId="0" applyFont="1" applyAlignment="1">
      <alignment vertical="center" wrapText="1"/>
    </xf>
    <xf numFmtId="0" fontId="33" fillId="0" borderId="6" xfId="0" applyFont="1" applyBorder="1" applyAlignment="1">
      <alignment vertical="center" wrapText="1"/>
    </xf>
    <xf numFmtId="0" fontId="33" fillId="0" borderId="7" xfId="0" applyFont="1" applyBorder="1" applyAlignment="1">
      <alignment vertical="center" wrapText="1"/>
    </xf>
    <xf numFmtId="0" fontId="33" fillId="0" borderId="10" xfId="0" applyFont="1" applyBorder="1" applyAlignment="1">
      <alignment vertical="center" wrapText="1"/>
    </xf>
    <xf numFmtId="0" fontId="33" fillId="0" borderId="8" xfId="0" applyFont="1" applyBorder="1" applyAlignment="1">
      <alignment vertical="center" wrapText="1"/>
    </xf>
    <xf numFmtId="49" fontId="34" fillId="0" borderId="3" xfId="0" applyNumberFormat="1" applyFont="1" applyBorder="1" applyAlignment="1">
      <alignment vertical="center" wrapText="1"/>
    </xf>
    <xf numFmtId="0" fontId="34" fillId="0" borderId="9" xfId="0" applyFont="1" applyBorder="1" applyAlignment="1">
      <alignment vertical="center" wrapText="1"/>
    </xf>
    <xf numFmtId="0" fontId="34" fillId="0" borderId="4" xfId="0" applyFont="1" applyBorder="1" applyAlignment="1">
      <alignment vertical="center" wrapText="1"/>
    </xf>
    <xf numFmtId="0" fontId="34" fillId="0" borderId="5" xfId="0" applyFont="1" applyBorder="1" applyAlignment="1">
      <alignment vertical="center" wrapText="1"/>
    </xf>
    <xf numFmtId="0" fontId="34" fillId="0" borderId="0" xfId="0" applyFont="1" applyAlignment="1">
      <alignment vertical="center" wrapText="1"/>
    </xf>
    <xf numFmtId="0" fontId="34" fillId="0" borderId="6" xfId="0" applyFont="1" applyBorder="1" applyAlignment="1">
      <alignment vertical="center" wrapText="1"/>
    </xf>
    <xf numFmtId="0" fontId="34" fillId="0" borderId="7" xfId="0" applyFont="1" applyBorder="1" applyAlignment="1">
      <alignment vertical="center" wrapText="1"/>
    </xf>
    <xf numFmtId="0" fontId="34" fillId="0" borderId="10" xfId="0" applyFont="1" applyBorder="1" applyAlignment="1">
      <alignment vertical="center" wrapText="1"/>
    </xf>
    <xf numFmtId="0" fontId="34" fillId="0" borderId="8" xfId="0" applyFont="1" applyBorder="1" applyAlignment="1">
      <alignment vertical="center" wrapText="1"/>
    </xf>
    <xf numFmtId="0" fontId="32" fillId="0" borderId="9" xfId="0" applyFont="1" applyBorder="1" applyAlignment="1">
      <alignment horizontal="left" vertical="center" wrapText="1"/>
    </xf>
    <xf numFmtId="0" fontId="32" fillId="0" borderId="0" xfId="0" applyFont="1" applyAlignment="1">
      <alignment horizontal="left" vertical="center" wrapText="1"/>
    </xf>
    <xf numFmtId="0" fontId="14" fillId="0" borderId="0" xfId="0" applyFont="1" applyAlignment="1">
      <alignment horizontal="left" wrapText="1"/>
    </xf>
    <xf numFmtId="0" fontId="0" fillId="0" borderId="0" xfId="0" applyAlignment="1">
      <alignment horizontal="left"/>
    </xf>
    <xf numFmtId="0" fontId="0" fillId="0" borderId="0" xfId="0" applyAlignment="1">
      <alignment horizontal="left" vertical="top" wrapText="1"/>
    </xf>
    <xf numFmtId="0" fontId="33" fillId="0" borderId="0" xfId="0" applyFont="1" applyAlignment="1">
      <alignment horizontal="left" vertical="center" wrapText="1"/>
    </xf>
    <xf numFmtId="49" fontId="34" fillId="0" borderId="0" xfId="0" applyNumberFormat="1" applyFont="1" applyAlignment="1">
      <alignment vertical="center" wrapText="1"/>
    </xf>
    <xf numFmtId="0" fontId="27" fillId="8" borderId="0" xfId="0" applyFont="1" applyFill="1" applyAlignment="1">
      <alignment horizontal="right" vertical="center"/>
    </xf>
    <xf numFmtId="0" fontId="27" fillId="8" borderId="0" xfId="0" applyFont="1" applyFill="1" applyAlignment="1">
      <alignment horizontal="center"/>
    </xf>
    <xf numFmtId="0" fontId="27" fillId="8" borderId="0" xfId="0" applyFont="1" applyFill="1" applyAlignment="1">
      <alignment horizontal="center" vertical="center"/>
    </xf>
    <xf numFmtId="166" fontId="14" fillId="0" borderId="0" xfId="4" applyNumberFormat="1" applyFont="1" applyBorder="1" applyAlignment="1">
      <alignment horizontal="center"/>
    </xf>
    <xf numFmtId="0" fontId="27" fillId="8" borderId="0" xfId="0" applyFont="1" applyFill="1" applyAlignment="1">
      <alignment horizontal="center" vertical="center" wrapText="1"/>
    </xf>
    <xf numFmtId="43" fontId="14" fillId="0" borderId="0" xfId="4" applyFont="1" applyAlignment="1">
      <alignment horizontal="left"/>
    </xf>
  </cellXfs>
  <cellStyles count="8">
    <cellStyle name="40% — акцент2" xfId="2" builtinId="35"/>
    <cellStyle name="60% — акцент2" xfId="3" builtinId="36"/>
    <cellStyle name="Гиперссылка" xfId="5" builtinId="8"/>
    <cellStyle name="Гиперссылка 2" xfId="7" xr:uid="{00000000-0005-0000-0000-000003000000}"/>
    <cellStyle name="Обычный" xfId="0" builtinId="0"/>
    <cellStyle name="Обычный 2" xfId="6" xr:uid="{00000000-0005-0000-0000-000005000000}"/>
    <cellStyle name="Финансовый" xfId="4" builtinId="3"/>
    <cellStyle name="Хороший" xfId="1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19050</xdr:rowOff>
    </xdr:from>
    <xdr:to>
      <xdr:col>6</xdr:col>
      <xdr:colOff>9525</xdr:colOff>
      <xdr:row>6</xdr:row>
      <xdr:rowOff>57150</xdr:rowOff>
    </xdr:to>
    <xdr:sp macro="[0]!ПечатьПриёмКомиссия" textlink="">
      <xdr:nvSpPr>
        <xdr:cNvPr id="2" name="Блок-схема: альтернативный процесс 1">
          <a:extLst>
            <a:ext uri="{FF2B5EF4-FFF2-40B4-BE49-F238E27FC236}">
              <a16:creationId xmlns:a16="http://schemas.microsoft.com/office/drawing/2014/main" id="{E707B331-250A-4AAE-9A44-98E98FDB22BD}"/>
            </a:ext>
          </a:extLst>
        </xdr:cNvPr>
        <xdr:cNvSpPr/>
      </xdr:nvSpPr>
      <xdr:spPr>
        <a:xfrm>
          <a:off x="7572375" y="447675"/>
          <a:ext cx="1981200" cy="609600"/>
        </a:xfrm>
        <a:prstGeom prst="flowChartAlternateProcess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ctr"/>
          <a:r>
            <a:rPr lang="ru-RU" sz="1400" b="1" cap="none" spc="0">
              <a:ln>
                <a:noFill/>
              </a:ln>
              <a:solidFill>
                <a:sysClr val="windowText" lastClr="000000"/>
              </a:solidFill>
              <a:effectLst>
                <a:outerShdw blurRad="50800" dist="38100" dir="18900000" algn="bl" rotWithShape="0">
                  <a:prstClr val="black">
                    <a:alpha val="40000"/>
                  </a:prstClr>
                </a:outerShdw>
              </a:effectLst>
            </a:rPr>
            <a:t>Печать документов для Комиссии</a:t>
          </a:r>
        </a:p>
      </xdr:txBody>
    </xdr:sp>
    <xdr:clientData/>
  </xdr:twoCellAnchor>
  <xdr:twoCellAnchor>
    <xdr:from>
      <xdr:col>8</xdr:col>
      <xdr:colOff>59952</xdr:colOff>
      <xdr:row>2</xdr:row>
      <xdr:rowOff>11206</xdr:rowOff>
    </xdr:from>
    <xdr:to>
      <xdr:col>11</xdr:col>
      <xdr:colOff>69477</xdr:colOff>
      <xdr:row>7</xdr:row>
      <xdr:rowOff>44824</xdr:rowOff>
    </xdr:to>
    <xdr:sp macro="[0]!ПечатьДокументовTradeIn" textlink="">
      <xdr:nvSpPr>
        <xdr:cNvPr id="3" name="Блок-схема: альтернативный процесс 2">
          <a:extLst>
            <a:ext uri="{FF2B5EF4-FFF2-40B4-BE49-F238E27FC236}">
              <a16:creationId xmlns:a16="http://schemas.microsoft.com/office/drawing/2014/main" id="{36E287D5-4CAA-43C2-8983-DEED59773D97}"/>
            </a:ext>
          </a:extLst>
        </xdr:cNvPr>
        <xdr:cNvSpPr/>
      </xdr:nvSpPr>
      <xdr:spPr>
        <a:xfrm>
          <a:off x="10940864" y="437030"/>
          <a:ext cx="1992966" cy="1030941"/>
        </a:xfrm>
        <a:prstGeom prst="flowChartAlternateProcess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ctr"/>
          <a:r>
            <a:rPr lang="ru-RU" sz="1400" b="1" cap="none" spc="0">
              <a:ln>
                <a:noFill/>
              </a:ln>
              <a:solidFill>
                <a:sysClr val="windowText" lastClr="000000"/>
              </a:solidFill>
              <a:effectLst>
                <a:outerShdw blurRad="50800" dist="38100" dir="18900000" algn="bl" rotWithShape="0">
                  <a:prstClr val="black">
                    <a:alpha val="40000"/>
                  </a:prstClr>
                </a:outerShdw>
              </a:effectLst>
            </a:rPr>
            <a:t>Печать документов для приёма авто в </a:t>
          </a:r>
          <a:r>
            <a:rPr lang="en-US" sz="1400" b="1" cap="none" spc="0">
              <a:ln>
                <a:noFill/>
              </a:ln>
              <a:solidFill>
                <a:sysClr val="windowText" lastClr="000000"/>
              </a:solidFill>
              <a:effectLst>
                <a:outerShdw blurRad="50800" dist="38100" dir="18900000" algn="bl" rotWithShape="0">
                  <a:prstClr val="black">
                    <a:alpha val="40000"/>
                  </a:prstClr>
                </a:outerShdw>
              </a:effectLst>
            </a:rPr>
            <a:t>Trade</a:t>
          </a:r>
          <a:r>
            <a:rPr lang="en-US" sz="1400" b="1" cap="none" spc="0" baseline="0">
              <a:ln>
                <a:noFill/>
              </a:ln>
              <a:solidFill>
                <a:sysClr val="windowText" lastClr="000000"/>
              </a:solidFill>
              <a:effectLst>
                <a:outerShdw blurRad="50800" dist="38100" dir="18900000" algn="bl" rotWithShape="0">
                  <a:prstClr val="black">
                    <a:alpha val="40000"/>
                  </a:prstClr>
                </a:outerShdw>
              </a:effectLst>
            </a:rPr>
            <a:t> - IN</a:t>
          </a:r>
          <a:endParaRPr lang="ru-RU" sz="1400" b="1" cap="none" spc="0">
            <a:ln>
              <a:noFill/>
            </a:ln>
            <a:solidFill>
              <a:sysClr val="windowText" lastClr="000000"/>
            </a:solidFill>
            <a:effectLst>
              <a:outerShdw blurRad="50800" dist="38100" dir="18900000" algn="bl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8</xdr:col>
      <xdr:colOff>134471</xdr:colOff>
      <xdr:row>10</xdr:row>
      <xdr:rowOff>119903</xdr:rowOff>
    </xdr:from>
    <xdr:to>
      <xdr:col>11</xdr:col>
      <xdr:colOff>143997</xdr:colOff>
      <xdr:row>15</xdr:row>
      <xdr:rowOff>33617</xdr:rowOff>
    </xdr:to>
    <xdr:sp macro="[0]!ПрямойПриём" textlink="">
      <xdr:nvSpPr>
        <xdr:cNvPr id="6" name="Блок-схема: альтернативный процесс 5">
          <a:extLst>
            <a:ext uri="{FF2B5EF4-FFF2-40B4-BE49-F238E27FC236}">
              <a16:creationId xmlns:a16="http://schemas.microsoft.com/office/drawing/2014/main" id="{7CF5C6AA-B236-47C2-9307-370FE7EC7B45}"/>
            </a:ext>
          </a:extLst>
        </xdr:cNvPr>
        <xdr:cNvSpPr/>
      </xdr:nvSpPr>
      <xdr:spPr>
        <a:xfrm>
          <a:off x="11015383" y="2159374"/>
          <a:ext cx="1992967" cy="866214"/>
        </a:xfrm>
        <a:prstGeom prst="flowChartAlternateProcess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ctr"/>
          <a:r>
            <a:rPr lang="ru-RU" sz="1400" b="1" cap="none" spc="0">
              <a:ln>
                <a:noFill/>
              </a:ln>
              <a:solidFill>
                <a:sysClr val="windowText" lastClr="000000"/>
              </a:solidFill>
              <a:effectLst>
                <a:outerShdw blurRad="50800" dist="38100" dir="18900000" algn="bl" rotWithShape="0">
                  <a:prstClr val="black">
                    <a:alpha val="40000"/>
                  </a:prstClr>
                </a:outerShdw>
              </a:effectLst>
            </a:rPr>
            <a:t>Приём по прямому ДКП 3 экз без</a:t>
          </a:r>
          <a:r>
            <a:rPr lang="ru-RU" sz="1400" b="1" cap="none" spc="0" baseline="0">
              <a:ln>
                <a:noFill/>
              </a:ln>
              <a:solidFill>
                <a:sysClr val="windowText" lastClr="000000"/>
              </a:solidFill>
              <a:effectLst>
                <a:outerShdw blurRad="50800" dist="38100" dir="18900000" algn="bl" rotWithShape="0">
                  <a:prstClr val="black">
                    <a:alpha val="40000"/>
                  </a:prstClr>
                </a:outerShdw>
              </a:effectLst>
            </a:rPr>
            <a:t> Покупателя</a:t>
          </a:r>
          <a:endParaRPr lang="ru-RU" sz="1400" b="1" cap="none" spc="0">
            <a:ln>
              <a:noFill/>
            </a:ln>
            <a:solidFill>
              <a:sysClr val="windowText" lastClr="000000"/>
            </a:solidFill>
            <a:effectLst>
              <a:outerShdw blurRad="50800" dist="38100" dir="18900000" algn="bl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2</xdr:col>
      <xdr:colOff>605117</xdr:colOff>
      <xdr:row>10</xdr:row>
      <xdr:rowOff>142315</xdr:rowOff>
    </xdr:from>
    <xdr:to>
      <xdr:col>6</xdr:col>
      <xdr:colOff>381000</xdr:colOff>
      <xdr:row>16</xdr:row>
      <xdr:rowOff>246529</xdr:rowOff>
    </xdr:to>
    <xdr:sp macro="[0]!перенос" textlink="">
      <xdr:nvSpPr>
        <xdr:cNvPr id="4" name="Блок-схема: альтернативный процесс 3">
          <a:extLst>
            <a:ext uri="{FF2B5EF4-FFF2-40B4-BE49-F238E27FC236}">
              <a16:creationId xmlns:a16="http://schemas.microsoft.com/office/drawing/2014/main" id="{A62A44D9-A7D3-09C9-7F82-52B315A5D901}"/>
            </a:ext>
          </a:extLst>
        </xdr:cNvPr>
        <xdr:cNvSpPr/>
      </xdr:nvSpPr>
      <xdr:spPr>
        <a:xfrm>
          <a:off x="7519146" y="2181786"/>
          <a:ext cx="2420472" cy="1247214"/>
        </a:xfrm>
        <a:prstGeom prst="flowChartAlternateProcess">
          <a:avLst/>
        </a:prstGeom>
        <a:solidFill>
          <a:srgbClr val="FFFF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ctr"/>
          <a:r>
            <a:rPr lang="ru-RU" sz="1400" b="1" cap="none" spc="0">
              <a:ln>
                <a:noFill/>
              </a:ln>
              <a:solidFill>
                <a:sysClr val="windowText" lastClr="000000"/>
              </a:solidFill>
              <a:effectLst>
                <a:outerShdw blurRad="50800" dist="38100" dir="18900000" algn="bl" rotWithShape="0">
                  <a:prstClr val="black">
                    <a:alpha val="40000"/>
                  </a:prstClr>
                </a:outerShdw>
              </a:effectLst>
            </a:rPr>
            <a:t>Перенести данные Покупателя в агентский договор для приёма на комиссию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704850</xdr:colOff>
      <xdr:row>23</xdr:row>
      <xdr:rowOff>38100</xdr:rowOff>
    </xdr:from>
    <xdr:to>
      <xdr:col>0</xdr:col>
      <xdr:colOff>2697817</xdr:colOff>
      <xdr:row>29</xdr:row>
      <xdr:rowOff>41461</xdr:rowOff>
    </xdr:to>
    <xdr:sp macro="[0]!ПрямойПриёмПолный" textlink="">
      <xdr:nvSpPr>
        <xdr:cNvPr id="2" name="Блок-схема: альтернативный процесс 1">
          <a:extLst>
            <a:ext uri="{FF2B5EF4-FFF2-40B4-BE49-F238E27FC236}">
              <a16:creationId xmlns:a16="http://schemas.microsoft.com/office/drawing/2014/main" id="{5EFE304B-0FFC-4216-B081-CA0101FD44C9}"/>
            </a:ext>
          </a:extLst>
        </xdr:cNvPr>
        <xdr:cNvSpPr/>
      </xdr:nvSpPr>
      <xdr:spPr>
        <a:xfrm>
          <a:off x="704850" y="4562475"/>
          <a:ext cx="1992967" cy="1146361"/>
        </a:xfrm>
        <a:prstGeom prst="flowChartAlternateProcess">
          <a:avLst/>
        </a:prstGeom>
        <a:solidFill>
          <a:srgbClr val="FFC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ctr"/>
          <a:r>
            <a:rPr lang="ru-RU" sz="1100" b="1" cap="none" spc="0">
              <a:ln>
                <a:noFill/>
              </a:ln>
              <a:solidFill>
                <a:sysClr val="windowText" lastClr="000000"/>
              </a:solidFill>
              <a:effectLst>
                <a:outerShdw blurRad="50800" dist="38100" dir="18900000" algn="bl" rotWithShape="0">
                  <a:prstClr val="black">
                    <a:alpha val="40000"/>
                  </a:prstClr>
                </a:outerShdw>
              </a:effectLst>
            </a:rPr>
            <a:t>Приём / продажа по прямому ДКП 3 экз Продавец</a:t>
          </a:r>
          <a:r>
            <a:rPr lang="ru-RU" sz="1100" b="1" cap="none" spc="0" baseline="0">
              <a:ln>
                <a:noFill/>
              </a:ln>
              <a:solidFill>
                <a:sysClr val="windowText" lastClr="000000"/>
              </a:solidFill>
              <a:effectLst>
                <a:outerShdw blurRad="50800" dist="38100" dir="18900000" algn="bl" rotWithShape="0">
                  <a:prstClr val="black">
                    <a:alpha val="40000"/>
                  </a:prstClr>
                </a:outerShdw>
              </a:effectLst>
            </a:rPr>
            <a:t> - Покупатель (Выкуп)</a:t>
          </a:r>
        </a:p>
        <a:p>
          <a:pPr algn="ctr"/>
          <a:r>
            <a:rPr lang="ru-RU" sz="1100" b="1" cap="none" spc="0" baseline="0">
              <a:ln>
                <a:noFill/>
              </a:ln>
              <a:solidFill>
                <a:sysClr val="windowText" lastClr="000000"/>
              </a:solidFill>
              <a:effectLst>
                <a:outerShdw blurRad="50800" dist="38100" dir="18900000" algn="bl" rotWithShape="0">
                  <a:prstClr val="black">
                    <a:alpha val="40000"/>
                  </a:prstClr>
                </a:outerShdw>
              </a:effectLst>
            </a:rPr>
            <a:t>*необходимо заполнить данные покупателя!</a:t>
          </a:r>
          <a:endParaRPr lang="ru-RU" sz="1100" b="1" cap="none" spc="0">
            <a:ln>
              <a:noFill/>
            </a:ln>
            <a:solidFill>
              <a:sysClr val="windowText" lastClr="000000"/>
            </a:solidFill>
            <a:effectLst>
              <a:outerShdw blurRad="50800" dist="38100" dir="18900000" algn="bl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1</xdr:col>
      <xdr:colOff>428625</xdr:colOff>
      <xdr:row>23</xdr:row>
      <xdr:rowOff>57150</xdr:rowOff>
    </xdr:from>
    <xdr:to>
      <xdr:col>1</xdr:col>
      <xdr:colOff>2571750</xdr:colOff>
      <xdr:row>28</xdr:row>
      <xdr:rowOff>152400</xdr:rowOff>
    </xdr:to>
    <xdr:sp macro="[0]!ПрямойПродажа" textlink="">
      <xdr:nvSpPr>
        <xdr:cNvPr id="3" name="Блок-схема: альтернативный процесс 2">
          <a:extLst>
            <a:ext uri="{FF2B5EF4-FFF2-40B4-BE49-F238E27FC236}">
              <a16:creationId xmlns:a16="http://schemas.microsoft.com/office/drawing/2014/main" id="{54B13145-0A14-4A90-B19D-BCFC37AE20F8}"/>
            </a:ext>
          </a:extLst>
        </xdr:cNvPr>
        <xdr:cNvSpPr/>
      </xdr:nvSpPr>
      <xdr:spPr>
        <a:xfrm>
          <a:off x="3819525" y="4581525"/>
          <a:ext cx="2143125" cy="1047750"/>
        </a:xfrm>
        <a:prstGeom prst="flowChartAlternateProcess">
          <a:avLst/>
        </a:prstGeom>
        <a:solidFill>
          <a:srgbClr val="FFFF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ctr"/>
          <a:r>
            <a:rPr lang="ru-RU" sz="1400" b="1" cap="none" spc="0">
              <a:ln>
                <a:noFill/>
              </a:ln>
              <a:solidFill>
                <a:sysClr val="windowText" lastClr="000000"/>
              </a:solidFill>
              <a:effectLst>
                <a:outerShdw blurRad="50800" dist="38100" dir="18900000" algn="bl" rotWithShape="0">
                  <a:prstClr val="black">
                    <a:alpha val="40000"/>
                  </a:prstClr>
                </a:outerShdw>
              </a:effectLst>
            </a:rPr>
            <a:t>Продажа по прямому </a:t>
          </a:r>
        </a:p>
        <a:p>
          <a:pPr algn="ctr"/>
          <a:r>
            <a:rPr lang="ru-RU" sz="1400" b="1" cap="none" spc="0">
              <a:ln>
                <a:noFill/>
              </a:ln>
              <a:solidFill>
                <a:sysClr val="windowText" lastClr="000000"/>
              </a:solidFill>
              <a:effectLst>
                <a:outerShdw blurRad="50800" dist="38100" dir="18900000" algn="bl" rotWithShape="0">
                  <a:prstClr val="black">
                    <a:alpha val="40000"/>
                  </a:prstClr>
                </a:outerShdw>
              </a:effectLst>
            </a:rPr>
            <a:t>1 экземпляр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1533525</xdr:colOff>
      <xdr:row>11</xdr:row>
      <xdr:rowOff>104775</xdr:rowOff>
    </xdr:from>
    <xdr:to>
      <xdr:col>1</xdr:col>
      <xdr:colOff>923925</xdr:colOff>
      <xdr:row>15</xdr:row>
      <xdr:rowOff>95250</xdr:rowOff>
    </xdr:to>
    <xdr:sp macro="[0]!Закрывашки" textlink="">
      <xdr:nvSpPr>
        <xdr:cNvPr id="8" name="Блок-схема: альтернативный процесс 7">
          <a:extLst>
            <a:ext uri="{FF2B5EF4-FFF2-40B4-BE49-F238E27FC236}">
              <a16:creationId xmlns:a16="http://schemas.microsoft.com/office/drawing/2014/main" id="{08A0EACD-8F23-4356-AD5F-E476E176F216}"/>
            </a:ext>
          </a:extLst>
        </xdr:cNvPr>
        <xdr:cNvSpPr/>
      </xdr:nvSpPr>
      <xdr:spPr>
        <a:xfrm>
          <a:off x="1533525" y="2438400"/>
          <a:ext cx="2562225" cy="752475"/>
        </a:xfrm>
        <a:prstGeom prst="flowChartAlternateProcess">
          <a:avLst/>
        </a:prstGeom>
        <a:effectLst>
          <a:reflection blurRad="6350" stA="50000" endA="300" endPos="90000" dist="50800" dir="5400000" sy="-100000" algn="bl" rotWithShape="0"/>
          <a:softEdge rad="12700"/>
        </a:effectLst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3200" b="1">
              <a:solidFill>
                <a:schemeClr val="bg1">
                  <a:lumMod val="85000"/>
                </a:schemeClr>
              </a:solidFill>
            </a:rPr>
            <a:t>Закрывашки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autopro0999@gmail.ru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2"/>
  <dimension ref="A1:A147"/>
  <sheetViews>
    <sheetView topLeftCell="A121" workbookViewId="0">
      <selection activeCell="A151" sqref="A151"/>
    </sheetView>
  </sheetViews>
  <sheetFormatPr defaultRowHeight="14.4" x14ac:dyDescent="0.3"/>
  <cols>
    <col min="1" max="1" width="166.109375" customWidth="1"/>
  </cols>
  <sheetData>
    <row r="1" spans="1:1" x14ac:dyDescent="0.3">
      <c r="A1" t="s">
        <v>237</v>
      </c>
    </row>
    <row r="2" spans="1:1" x14ac:dyDescent="0.3">
      <c r="A2" t="e">
        <f ca="1">ЧислоПропись('Данные Клиента Продавца и Авто'!B31)</f>
        <v>#NAME?</v>
      </c>
    </row>
    <row r="3" spans="1:1" x14ac:dyDescent="0.3">
      <c r="A3" t="s">
        <v>283</v>
      </c>
    </row>
    <row r="4" spans="1:1" x14ac:dyDescent="0.3">
      <c r="A4" t="s">
        <v>241</v>
      </c>
    </row>
    <row r="5" spans="1:1" x14ac:dyDescent="0.3">
      <c r="A5" t="e" cm="1">
        <f t="array" aca="1" ref="A5" ca="1">ЧислоПропись('Данные Клиента Продавца и Авто'!B38)</f>
        <v>#NAME?</v>
      </c>
    </row>
    <row r="6" spans="1:1" x14ac:dyDescent="0.3">
      <c r="A6" t="s">
        <v>240</v>
      </c>
    </row>
    <row r="7" spans="1:1" x14ac:dyDescent="0.3">
      <c r="A7" t="s">
        <v>239</v>
      </c>
    </row>
    <row r="8" spans="1:1" x14ac:dyDescent="0.3">
      <c r="A8" t="e" cm="1">
        <f t="array" aca="1" ref="A8" ca="1">ЧислоПропись('Данные Клиента Продавца и Авто'!B40)</f>
        <v>#NAME?</v>
      </c>
    </row>
    <row r="9" spans="1:1" x14ac:dyDescent="0.3">
      <c r="A9" t="e" cm="1">
        <f t="array" aca="1" ref="A9" ca="1">ЧислоПропись(Закрывашки!B6)</f>
        <v>#NAME?</v>
      </c>
    </row>
    <row r="10" spans="1:1" x14ac:dyDescent="0.3">
      <c r="A10" t="e" cm="1">
        <f t="array" aca="1" ref="A10" ca="1">ЧислоПропись(Закрывашки!B8)</f>
        <v>#NAME?</v>
      </c>
    </row>
    <row r="11" spans="1:1" x14ac:dyDescent="0.3">
      <c r="A11" t="s">
        <v>265</v>
      </c>
    </row>
    <row r="12" spans="1:1" x14ac:dyDescent="0.3">
      <c r="A12" t="s">
        <v>267</v>
      </c>
    </row>
    <row r="13" spans="1:1" x14ac:dyDescent="0.3">
      <c r="A13" t="s">
        <v>271</v>
      </c>
    </row>
    <row r="14" spans="1:1" x14ac:dyDescent="0.3">
      <c r="A14" t="s">
        <v>261</v>
      </c>
    </row>
    <row r="15" spans="1:1" x14ac:dyDescent="0.3">
      <c r="A15" t="s">
        <v>46</v>
      </c>
    </row>
    <row r="16" spans="1:1" x14ac:dyDescent="0.3">
      <c r="A16" t="s">
        <v>178</v>
      </c>
    </row>
    <row r="17" spans="1:1" x14ac:dyDescent="0.3">
      <c r="A17" t="s">
        <v>272</v>
      </c>
    </row>
    <row r="18" spans="1:1" x14ac:dyDescent="0.3">
      <c r="A18" t="s">
        <v>268</v>
      </c>
    </row>
    <row r="19" spans="1:1" x14ac:dyDescent="0.3">
      <c r="A19" t="s">
        <v>273</v>
      </c>
    </row>
    <row r="20" spans="1:1" x14ac:dyDescent="0.3">
      <c r="A20" t="s">
        <v>145</v>
      </c>
    </row>
    <row r="21" spans="1:1" x14ac:dyDescent="0.3">
      <c r="A21" t="s">
        <v>274</v>
      </c>
    </row>
    <row r="22" spans="1:1" x14ac:dyDescent="0.3">
      <c r="A22" t="s">
        <v>275</v>
      </c>
    </row>
    <row r="23" spans="1:1" x14ac:dyDescent="0.3">
      <c r="A23" t="s">
        <v>252</v>
      </c>
    </row>
    <row r="24" spans="1:1" x14ac:dyDescent="0.3">
      <c r="A24" t="s">
        <v>276</v>
      </c>
    </row>
    <row r="25" spans="1:1" x14ac:dyDescent="0.3">
      <c r="A25" t="s">
        <v>277</v>
      </c>
    </row>
    <row r="26" spans="1:1" x14ac:dyDescent="0.3">
      <c r="A26" t="s">
        <v>279</v>
      </c>
    </row>
    <row r="27" spans="1:1" x14ac:dyDescent="0.3">
      <c r="A27" t="s">
        <v>280</v>
      </c>
    </row>
    <row r="28" spans="1:1" x14ac:dyDescent="0.3">
      <c r="A28" t="s">
        <v>265</v>
      </c>
    </row>
    <row r="29" spans="1:1" ht="72" x14ac:dyDescent="0.3">
      <c r="A29" s="50" t="str">
        <f>'Данные Клиента Продавца и Авто'!B7&amp;Лист1!A12&amp;Лист1!A13&amp;A11&amp;'Данные Клиента Продавца и Авто'!B11&amp;Лист1!A11&amp;Лист1!A14&amp;Лист1!A11&amp;'Данные Клиента Продавца и Авто'!B12&amp;Лист1!A12&amp;Лист1!A15&amp;Лист1!A11&amp;'Данные Клиента Продавца и Авто'!B14&amp;Лист1!A11&amp;Лист1!A16&amp;Лист1!A12&amp;Лист1!A17&amp;Лист1!A11&amp;'Данные Клиента Продавца и Авто'!B13&amp;Лист1!A12&amp;Лист1!A18&amp;Лист1!A11&amp;'Данные Клиента Продавца и Авто'!B17&amp;Лист1!A12&amp;Лист1!A19&amp;Лист1!A11&amp;'Данные Клиента Продавца и Авто'!B3&amp;Лист1!A11&amp;Лист1!A20&amp;Лист1!A11&amp;'Данные Клиента Продавца и Авто'!B4&amp;A11&amp;Лист1!A16&amp;Лист1!A12&amp;A11&amp;A21&amp;A11&amp;'Карточка ИП'!B13&amp;Лист1!A12&amp;Лист1!A22&amp;Лист1!A23&amp;A11&amp;'Карточка ИП'!B21&amp;Лист1!A24&amp;Лист1!A12&amp;Лист1!A25&amp;Лист1!A11&amp;'Карточка ИП'!B14&amp;Лист1!A12&amp;Лист1!A26&amp;Лист1!A12&amp;'Данные Продажи'!B6&amp;Лист1!A12&amp;Лист1!A13&amp;Лист1!A11&amp;'Данные Продажи'!B10&amp;Лист1!A11&amp;Лист1!A14&amp;Лист1!A11&amp;'Данные Продажи'!B11&amp;A12&amp;A15&amp;A11&amp;'Данные Продажи'!B13&amp;Лист1!A11&amp;Лист1!A16&amp;Лист1!A12&amp;Лист1!A17&amp;Лист1!A11&amp;'Данные Продажи'!B12&amp;Лист1!A12&amp;Лист1!A18&amp;Лист1!A11&amp;'Данные Продажи'!B16&amp;Лист1!A12&amp;Лист1!A27</f>
        <v>Фамилия Имя Отчество, паспорт серии 0000 № 000000, дата выдачи дд.мм.гггг г., выдан: Полностью как в паспорте, адрес регистрации: Область, город, улица, дом, корпус, квартира, именуемый(-ая) в дальнейшем "Продавец", от имени и в интересах которого, на основании Агентского договора № 0810 от 19.09.2022 г.,  действует Индивидуальный предприниматель Антонов Денис Николаевич, (ИНН 667327231596), в лице Антонова Дениса Николаевича, с одной стороны, Швецов Евгений Мизайлович, паспорт серии 6504 № 426241, дата выдачи 30.07.2003 г., выдан: Орджоникидзевским РУВД города Екатеринбурга, адрес регистрации: Свердловская область г. Екатеринбург пер. Симбирский д. 2/4, кв. 115, именуемый(-ая) в дальнейшем "Покупатель", с другой стороны, заключили настоящий Договор о нижеследующем:</v>
      </c>
    </row>
    <row r="30" spans="1:1" x14ac:dyDescent="0.3">
      <c r="A30" t="s">
        <v>265</v>
      </c>
    </row>
    <row r="31" spans="1:1" x14ac:dyDescent="0.3">
      <c r="A31" t="s">
        <v>281</v>
      </c>
    </row>
    <row r="32" spans="1:1" x14ac:dyDescent="0.3">
      <c r="A32" t="e">
        <f ca="1">A31&amp;A11&amp;Закрывашки!B6&amp;Лист1!A1&amp;Лист1!A9&amp;Лист1!A3</f>
        <v>#NAME?</v>
      </c>
    </row>
    <row r="33" spans="1:1" x14ac:dyDescent="0.3">
      <c r="A33" t="s">
        <v>282</v>
      </c>
    </row>
    <row r="34" spans="1:1" x14ac:dyDescent="0.3">
      <c r="A34" t="e">
        <f ca="1">A33&amp;A11&amp;Закрывашки!B6&amp;Лист1!A1&amp;Лист1!A9&amp;Лист1!A3</f>
        <v>#NAME?</v>
      </c>
    </row>
    <row r="35" spans="1:1" x14ac:dyDescent="0.3">
      <c r="A35" t="s">
        <v>284</v>
      </c>
    </row>
    <row r="36" spans="1:1" x14ac:dyDescent="0.3">
      <c r="A36" t="str">
        <f>A35&amp;'Карточка ИП'!B14&amp;A37</f>
        <v>Индивидуального предпринимателя Антонова Дениса Николаевича.</v>
      </c>
    </row>
    <row r="37" spans="1:1" x14ac:dyDescent="0.3">
      <c r="A37" t="s">
        <v>285</v>
      </c>
    </row>
    <row r="38" spans="1:1" x14ac:dyDescent="0.3">
      <c r="A38" t="s">
        <v>286</v>
      </c>
    </row>
    <row r="39" spans="1:1" x14ac:dyDescent="0.3">
      <c r="A39" t="s">
        <v>288</v>
      </c>
    </row>
    <row r="40" spans="1:1" x14ac:dyDescent="0.3">
      <c r="A40" t="s">
        <v>142</v>
      </c>
    </row>
    <row r="41" spans="1:1" x14ac:dyDescent="0.3">
      <c r="A41" t="s">
        <v>291</v>
      </c>
    </row>
    <row r="42" spans="1:1" x14ac:dyDescent="0.3">
      <c r="A42" t="str">
        <f>A41&amp;'Данные Клиента Продавца и Авто'!B3&amp;Лист1!A11&amp;Лист1!A20&amp;Лист1!A11&amp;'Данные Клиента Продавца и Авто'!B4&amp;Лист1!A11&amp;Лист1!A16</f>
        <v>По агентскому договору № 0810 от 19.09.2022 г.</v>
      </c>
    </row>
    <row r="43" spans="1:1" x14ac:dyDescent="0.3">
      <c r="A43" t="s">
        <v>292</v>
      </c>
    </row>
    <row r="44" spans="1:1" x14ac:dyDescent="0.3">
      <c r="A44" t="str">
        <f>A43&amp;A28&amp;Закрывашки!B3&amp;Лист1!A28&amp;Лист1!A20&amp;Лист1!A28&amp;A28&amp;Закрывашки!B4&amp;Лист1!A28&amp;Лист1!A16</f>
        <v>Приложение к договору купли-продажи автомобиля №  03042022/-1 от  03.04.2022 г.</v>
      </c>
    </row>
    <row r="45" spans="1:1" x14ac:dyDescent="0.3">
      <c r="A45" t="s">
        <v>294</v>
      </c>
    </row>
    <row r="46" spans="1:1" x14ac:dyDescent="0.3">
      <c r="A46" t="s">
        <v>393</v>
      </c>
    </row>
    <row r="47" spans="1:1" x14ac:dyDescent="0.3">
      <c r="A47" t="s">
        <v>293</v>
      </c>
    </row>
    <row r="48" spans="1:1" x14ac:dyDescent="0.3">
      <c r="A48" s="52" t="s">
        <v>265</v>
      </c>
    </row>
    <row r="49" spans="1:1" x14ac:dyDescent="0.3">
      <c r="A49" t="s">
        <v>295</v>
      </c>
    </row>
    <row r="51" spans="1:1" x14ac:dyDescent="0.3">
      <c r="A51" t="str">
        <f>'Данные Клиента Продавца и Авто'!B7&amp;Лист1!A12&amp;Лист1!A48&amp;Лист1!A19&amp;Лист1!A11&amp;'Данные Клиента Продавца и Авто'!B3&amp;Лист1!A11&amp;Лист1!A20&amp;Лист1!A11&amp;'Данные Клиента Продавца и Авто'!B4&amp;A48&amp;A16&amp;A49&amp;'Карточка ИП'!B13&amp;A12&amp;Лист1!A46&amp;'Данные Продажи'!B6&amp;Лист1!A47</f>
        <v>Фамилия Имя Отчество,  именуемый(-ая) в дальнейшем "Продавец", от имени и в интересах которого, на основании Агентского договора № 0810 от 19.09.2022 г. действует Индивидуальный предприниматель Антонов Денис Николаевич, с одной стороны, Швецов Евгений Мизайлович, именуемый(-ая) в дальнейшем "Покупатель", с другой стороны, составили настоящий акт о нижеследующем:</v>
      </c>
    </row>
    <row r="56" spans="1:1" x14ac:dyDescent="0.3">
      <c r="A56" t="s">
        <v>296</v>
      </c>
    </row>
    <row r="57" spans="1:1" x14ac:dyDescent="0.3">
      <c r="A57" t="s">
        <v>297</v>
      </c>
    </row>
    <row r="58" spans="1:1" x14ac:dyDescent="0.3">
      <c r="A58" t="str">
        <f>A56&amp;A14&amp;A11&amp;Закрывашки!B3&amp;Лист1!A11&amp;Лист1!A20&amp;Лист1!A11&amp;Закрывашки!B4&amp;Лист1!A11&amp;Лист1!A16&amp;Лист1!A12&amp;Лист1!A57</f>
        <v>1. На основании договора купли-продажи № 03042022/-1 от 03.04.2022 г., Продавец передал, а Покупатель принял автомобиль (в дальнейшем Автомобиль), а именно:</v>
      </c>
    </row>
    <row r="60" spans="1:1" x14ac:dyDescent="0.3">
      <c r="A60" t="s">
        <v>298</v>
      </c>
    </row>
    <row r="61" spans="1:1" x14ac:dyDescent="0.3">
      <c r="A61" t="s">
        <v>299</v>
      </c>
    </row>
    <row r="62" spans="1:1" x14ac:dyDescent="0.3">
      <c r="A62" t="e">
        <f ca="1">Лист1!A60&amp;Закрывашки!B6&amp;Закрывашки!B7&amp;A61</f>
        <v>#NAME?</v>
      </c>
    </row>
    <row r="63" spans="1:1" x14ac:dyDescent="0.3">
      <c r="A63" s="52" t="s">
        <v>265</v>
      </c>
    </row>
    <row r="64" spans="1:1" x14ac:dyDescent="0.3">
      <c r="A64" t="s">
        <v>300</v>
      </c>
    </row>
    <row r="65" spans="1:1" x14ac:dyDescent="0.3">
      <c r="A65" t="str">
        <f>A64&amp;A14&amp;A63&amp;Закрывашки!B3&amp;A63&amp;Лист1!A20&amp;Лист1!A63&amp;Закрывашки!B4&amp;A63&amp;Лист1!A63&amp;Лист1!A16</f>
        <v>7. Настоящий акт является приложением к договору купли-продажи автомобиля № 03042022/-1 от 03.04.2022  г.</v>
      </c>
    </row>
    <row r="67" spans="1:1" x14ac:dyDescent="0.3">
      <c r="A67" t="e">
        <f ca="1">ЧислоПропись(Закрывашки!#REF!)</f>
        <v>#NAME?</v>
      </c>
    </row>
    <row r="68" spans="1:1" x14ac:dyDescent="0.3">
      <c r="A68" t="e">
        <f ca="1">ЧислоПропись(Закрывашки!#REF!)</f>
        <v>#NAME?</v>
      </c>
    </row>
    <row r="69" spans="1:1" x14ac:dyDescent="0.3">
      <c r="A69" s="49" t="s">
        <v>301</v>
      </c>
    </row>
    <row r="70" spans="1:1" x14ac:dyDescent="0.3">
      <c r="A70" t="s">
        <v>302</v>
      </c>
    </row>
    <row r="71" spans="1:1" x14ac:dyDescent="0.3">
      <c r="A71" t="e">
        <f>A69&amp;A63&amp;Закрывашки!#REF!&amp;Лист1!A1&amp;Закрывашки!#REF!&amp;Лист1!A48&amp;Лист1!A70</f>
        <v>#REF!</v>
      </c>
    </row>
    <row r="72" spans="1:1" x14ac:dyDescent="0.3">
      <c r="A72" s="49" t="s">
        <v>303</v>
      </c>
    </row>
    <row r="73" spans="1:1" x14ac:dyDescent="0.3">
      <c r="A73" s="49" t="s">
        <v>304</v>
      </c>
    </row>
    <row r="74" spans="1:1" x14ac:dyDescent="0.3">
      <c r="A74" t="e">
        <f>A72&amp;A63&amp;Закрывашки!#REF!&amp;Лист1!A1&amp;Закрывашки!#REF!&amp;Лист1!A48&amp;Лист1!A73</f>
        <v>#REF!</v>
      </c>
    </row>
    <row r="75" spans="1:1" x14ac:dyDescent="0.3">
      <c r="A75" s="52" t="s">
        <v>265</v>
      </c>
    </row>
    <row r="76" spans="1:1" x14ac:dyDescent="0.3">
      <c r="A76" t="s">
        <v>317</v>
      </c>
    </row>
    <row r="77" spans="1:1" x14ac:dyDescent="0.3">
      <c r="A77" s="54" t="s">
        <v>316</v>
      </c>
    </row>
    <row r="78" spans="1:1" x14ac:dyDescent="0.3">
      <c r="A78" s="54" t="s">
        <v>315</v>
      </c>
    </row>
    <row r="79" spans="1:1" x14ac:dyDescent="0.3">
      <c r="A79" s="54" t="s">
        <v>267</v>
      </c>
    </row>
    <row r="80" spans="1:1" x14ac:dyDescent="0.3">
      <c r="A80" s="54" t="s">
        <v>318</v>
      </c>
    </row>
    <row r="81" spans="1:1" x14ac:dyDescent="0.3">
      <c r="A81" s="54" t="s">
        <v>314</v>
      </c>
    </row>
    <row r="82" spans="1:1" x14ac:dyDescent="0.3">
      <c r="A82" s="54" t="s">
        <v>319</v>
      </c>
    </row>
    <row r="83" spans="1:1" x14ac:dyDescent="0.3">
      <c r="A83" s="54" t="s">
        <v>320</v>
      </c>
    </row>
    <row r="84" spans="1:1" x14ac:dyDescent="0.3">
      <c r="A84" s="54" t="s">
        <v>321</v>
      </c>
    </row>
    <row r="85" spans="1:1" x14ac:dyDescent="0.3">
      <c r="A85" s="54" t="s">
        <v>47</v>
      </c>
    </row>
    <row r="86" spans="1:1" x14ac:dyDescent="0.3">
      <c r="A86" s="54" t="s">
        <v>322</v>
      </c>
    </row>
    <row r="87" spans="1:1" x14ac:dyDescent="0.3">
      <c r="A87" t="str">
        <f>A76&amp;'Данные Клиента Продавца и Авто'!B7&amp;Лист1!A75&amp;'Данные Клиента Продавца и Авто'!B8&amp;Лист1!A75&amp;Лист1!A77&amp;'Данные Клиента Продавца и Авто'!B11&amp;Лист1!A78&amp;'Данные Клиента Продавца и Авто'!B12&amp;Лист1!A79&amp;Лист1!A80&amp;'Данные Клиента Продавца и Авто'!B14&amp;Лист1!A75&amp;Лист1!A81&amp;Лист1!A82&amp;'Данные Клиента Продавца и Авто'!B15&amp;Лист1!A83&amp;'Данные Клиента Продавца и Авто'!B13&amp;Лист1!A79&amp;Лист1!A84&amp;'Данные Клиента Продавца и Авто'!B17&amp;Лист1!A79&amp;Лист1!A85&amp;'Карточка ИП'!B13&amp;Лист1!A79&amp;Лист1!A86</f>
        <v xml:space="preserve">Гр. Фамилия Имя Отчество дд.мм.гггг г.р., паспорт серии 0000, номер 000000, дата выдачи дд.мм.гггг г., Код подразделения: 000-000, выдан: Полностью как в паспорте, адрес регистрации: Область, город, улица, дом, корпус, квартира, именуемый (-ая) в дальнейшем «Принципал», с одной стороны, и Индивидуальный предприниматель Антонов Денис Николаевич, именуемый в дальнейшем «Агент», с другой стороны, все вместе именуемые Стороны, заключили настоящий договор о нижеследующем: </v>
      </c>
    </row>
    <row r="88" spans="1:1" x14ac:dyDescent="0.3">
      <c r="A88" s="52" t="s">
        <v>265</v>
      </c>
    </row>
    <row r="89" spans="1:1" x14ac:dyDescent="0.3">
      <c r="A89" s="5" t="s">
        <v>86</v>
      </c>
    </row>
    <row r="90" spans="1:1" x14ac:dyDescent="0.3">
      <c r="A90" t="e">
        <f ca="1">'Данные Клиента Продавца и Авто'!B32</f>
        <v>#NAME?</v>
      </c>
    </row>
    <row r="91" spans="1:1" x14ac:dyDescent="0.3">
      <c r="A91" s="53">
        <f>'Данные Клиента Продавца и Авто'!B31</f>
        <v>100000</v>
      </c>
    </row>
    <row r="92" spans="1:1" x14ac:dyDescent="0.3">
      <c r="A92" t="e">
        <f ca="1">A89&amp;A91&amp;A90</f>
        <v>#NAME?</v>
      </c>
    </row>
    <row r="93" spans="1:1" x14ac:dyDescent="0.3">
      <c r="A93" s="52" t="s">
        <v>265</v>
      </c>
    </row>
    <row r="94" spans="1:1" x14ac:dyDescent="0.3">
      <c r="A94" s="54" t="s">
        <v>323</v>
      </c>
    </row>
    <row r="95" spans="1:1" x14ac:dyDescent="0.3">
      <c r="A95" t="str">
        <f>A94&amp;A76&amp;'Данные Клиента Продавца и Авто'!B7&amp;Лист1!A75&amp;'Данные Клиента Продавца и Авто'!B8&amp;Лист1!A75&amp;Лист1!A77&amp;'Данные Клиента Продавца и Авто'!B11&amp;Лист1!A78&amp;'Данные Клиента Продавца и Авто'!B12&amp;Лист1!A79&amp;Лист1!A80&amp;'Данные Клиента Продавца и Авто'!B14&amp;Лист1!A75&amp;Лист1!A81&amp;Лист1!A82&amp;'Данные Клиента Продавца и Авто'!B15&amp;Лист1!A83&amp;'Данные Клиента Продавца и Авто'!B13&amp;Лист1!A79&amp;Лист1!A84&amp;'Данные Клиента Продавца и Авто'!B17</f>
        <v>8.1. Гр. Фамилия Имя Отчество дд.мм.гггг г.р., паспорт серии 0000, номер 000000, дата выдачи дд.мм.гггг г., Код подразделения: 000-000, выдан: Полностью как в паспорте, адрес регистрации: Область, город, улица, дом, корпус, квартира</v>
      </c>
    </row>
    <row r="96" spans="1:1" x14ac:dyDescent="0.3">
      <c r="A96" s="54" t="s">
        <v>324</v>
      </c>
    </row>
    <row r="97" spans="1:1" x14ac:dyDescent="0.3">
      <c r="A97" t="str">
        <f>A96&amp;'Карточка ИП'!B12</f>
        <v>8.2. Агент: ИП Антонов Д.Н.</v>
      </c>
    </row>
    <row r="98" spans="1:1" x14ac:dyDescent="0.3">
      <c r="A98" s="52" t="s">
        <v>265</v>
      </c>
    </row>
    <row r="99" spans="1:1" x14ac:dyDescent="0.3">
      <c r="A99" s="56" t="s">
        <v>386</v>
      </c>
    </row>
    <row r="100" spans="1:1" x14ac:dyDescent="0.3">
      <c r="A100" t="str">
        <f>A76&amp;'Данные Клиента Продавца и Авто'!B7&amp;Лист1!A75&amp;'Данные Клиента Продавца и Авто'!B8&amp;Лист1!A75&amp;Лист1!A77&amp;'Данные Клиента Продавца и Авто'!B11&amp;Лист1!A78&amp;'Данные Клиента Продавца и Авто'!B12&amp;Лист1!A79&amp;Лист1!A80&amp;'Данные Клиента Продавца и Авто'!B14&amp;Лист1!A75&amp;Лист1!A81&amp;Лист1!A82&amp;'Данные Клиента Продавца и Авто'!B15&amp;Лист1!A83&amp;'Данные Клиента Продавца и Авто'!B13&amp;Лист1!A79&amp;Лист1!A84&amp;'Данные Клиента Продавца и Авто'!B17&amp;Лист1!A79&amp;Лист1!A85&amp;'Карточка ИП'!B13&amp;Лист1!A79&amp;Лист1!A99</f>
        <v xml:space="preserve">Гр. Фамилия Имя Отчество дд.мм.гггг г.р., паспорт серии 0000, номер 000000, дата выдачи дд.мм.гггг г., Код подразделения: 000-000, выдан: Полностью как в паспорте, адрес регистрации: Область, город, улица, дом, корпус, квартира, именуемый (-ая) в дальнейшем «Принципал», с одной стороны, и Индивидуальный предприниматель Антонов Денис Николаевич, именуемый в дальнейшем «Агент», с другой стороны, все вместе именуемые Стороны, заключили настоящий акт о нижеследующем: </v>
      </c>
    </row>
    <row r="101" spans="1:1" x14ac:dyDescent="0.3">
      <c r="A101" t="str">
        <f>A76&amp;'Данные Клиента Продавца и Авто'!B7&amp;Лист1!A75&amp;'Данные Клиента Продавца и Авто'!B8&amp;Лист1!A75&amp;Лист1!A77&amp;'Данные Клиента Продавца и Авто'!B11&amp;Лист1!A78&amp;'Данные Клиента Продавца и Авто'!B12&amp;Лист1!A79&amp;Лист1!A80&amp;'Данные Клиента Продавца и Авто'!B14&amp;Лист1!A75&amp;Лист1!A81&amp;Лист1!A82&amp;'Данные Клиента Продавца и Авто'!B15&amp;Лист1!A83&amp;'Данные Клиента Продавца и Авто'!B13&amp;Лист1!A79&amp;Лист1!A84&amp;'Данные Клиента Продавца и Авто'!B17</f>
        <v>Гр. Фамилия Имя Отчество дд.мм.гггг г.р., паспорт серии 0000, номер 000000, дата выдачи дд.мм.гггг г., Код подразделения: 000-000, выдан: Полностью как в паспорте, адрес регистрации: Область, город, улица, дом, корпус, квартира</v>
      </c>
    </row>
    <row r="102" spans="1:1" x14ac:dyDescent="0.3">
      <c r="A102" s="5" t="s">
        <v>207</v>
      </c>
    </row>
    <row r="103" spans="1:1" x14ac:dyDescent="0.3">
      <c r="A103" t="str">
        <f>A101&amp;A79&amp;A102</f>
        <v>Гр. Фамилия Имя Отчество дд.мм.гггг г.р., паспорт серии 0000, номер 000000, дата выдачи дд.мм.гггг г., Код подразделения: 000-000, выдан: Полностью как в паспорте, адрес регистрации: Область, город, улица, дом, корпус, квартира, уполномочивает</v>
      </c>
    </row>
    <row r="104" spans="1:1" x14ac:dyDescent="0.3">
      <c r="A104" s="56" t="s">
        <v>284</v>
      </c>
    </row>
    <row r="105" spans="1:1" x14ac:dyDescent="0.3">
      <c r="A105" s="56" t="s">
        <v>387</v>
      </c>
    </row>
    <row r="106" spans="1:1" x14ac:dyDescent="0.3">
      <c r="A106" s="5" t="s">
        <v>208</v>
      </c>
    </row>
    <row r="107" spans="1:1" x14ac:dyDescent="0.3">
      <c r="A107" t="e">
        <f ca="1">A103&amp;A93&amp;A104&amp;'Карточка ИП'!B14&amp;Лист1!A79&amp;'Карточка ИП'!A20&amp;Лист1!A93&amp;'Карточка ИП'!B20&amp;Лист1!A79&amp;'Карточка ИП'!A21&amp;Лист1!A93&amp;'Карточка ИП'!B21&amp;Лист1!A79&amp;Лист1!A105&amp;Лист1!A93&amp;'Данные Клиента Продавца и Авто'!B31&amp;Лист1!A93&amp;'Данные Клиента Продавца и Авто'!B32&amp;Лист1!A93&amp;Лист1!A106</f>
        <v>#NAME?</v>
      </c>
    </row>
    <row r="109" spans="1:1" x14ac:dyDescent="0.3">
      <c r="A109" s="56" t="s">
        <v>389</v>
      </c>
    </row>
    <row r="110" spans="1:1" x14ac:dyDescent="0.3">
      <c r="A110" s="56" t="s">
        <v>388</v>
      </c>
    </row>
    <row r="111" spans="1:1" x14ac:dyDescent="0.3">
      <c r="A111" t="str">
        <f>A109&amp;'Карточка ИП'!B13&amp;Лист1!A110</f>
        <v xml:space="preserve">Индивидуальный предприниматель Антонов Денис Николаевич, именуемый в дальнейшем «Агент», </v>
      </c>
    </row>
    <row r="113" spans="1:1" x14ac:dyDescent="0.3">
      <c r="A113" t="s">
        <v>264</v>
      </c>
    </row>
    <row r="114" spans="1:1" x14ac:dyDescent="0.3">
      <c r="A114" t="str">
        <f>'Карточка ИП'!A21&amp;Лист1!A98&amp;'Карточка ИП'!B21&amp;Лист1!A79&amp;'Карточка ИП'!A22&amp;Лист1!A98&amp;'Карточка ИП'!B22&amp;A79&amp;'Карточка ИП'!B12&amp;Лист1!A79&amp;'Карточка ИП'!B16</f>
        <v>ИНН 667327231596, КПП , ИП Антонов Д.Н., 620098, г. Екатеринбург, ул. Ярославская, д. 33, кв. 2</v>
      </c>
    </row>
    <row r="115" spans="1:1" x14ac:dyDescent="0.3">
      <c r="A115" s="52" t="s">
        <v>265</v>
      </c>
    </row>
    <row r="116" spans="1:1" x14ac:dyDescent="0.3">
      <c r="A116" t="s">
        <v>392</v>
      </c>
    </row>
    <row r="117" spans="1:1" x14ac:dyDescent="0.3">
      <c r="A117" t="str">
        <f>A116&amp;'Карточка ИП'!B12</f>
        <v>Договор с ИП Антонов Д.Н.</v>
      </c>
    </row>
    <row r="118" spans="1:1" x14ac:dyDescent="0.3">
      <c r="A118" t="s">
        <v>394</v>
      </c>
    </row>
    <row r="119" spans="1:1" x14ac:dyDescent="0.3">
      <c r="A119" t="s">
        <v>395</v>
      </c>
    </row>
    <row r="120" spans="1:1" x14ac:dyDescent="0.3">
      <c r="A120" t="s">
        <v>280</v>
      </c>
    </row>
    <row r="121" spans="1:1" x14ac:dyDescent="0.3">
      <c r="A121" t="str">
        <f>'Данные Клиента Продавца и Авто'!B7&amp;Лист1!A12&amp;Лист1!A13&amp;A11&amp;'Данные Клиента Продавца и Авто'!B11&amp;Лист1!A11&amp;Лист1!A14&amp;Лист1!A11&amp;'Данные Клиента Продавца и Авто'!B12&amp;Лист1!A12&amp;Лист1!A15&amp;Лист1!A11&amp;'Данные Клиента Продавца и Авто'!B14&amp;Лист1!A11&amp;Лист1!A16&amp;Лист1!A12&amp;Лист1!A17&amp;Лист1!A11&amp;'Данные Клиента Продавца и Авто'!B13&amp;Лист1!A12&amp;Лист1!A18&amp;Лист1!A11&amp;'Данные Клиента Продавца и Авто'!B17&amp;Лист1!A12&amp;Лист1!A19&amp;Лист1!A11&amp;'Данные Клиента Продавца и Авто'!B3&amp;Лист1!A11&amp;Лист1!A20&amp;Лист1!A11&amp;'Данные Клиента Продавца и Авто'!B4&amp;A11&amp;Лист1!A16&amp;Лист1!A12&amp;A11&amp;A21&amp;A11&amp;'Карточка ИП'!B13&amp;Лист1!A12&amp;Лист1!A22&amp;Лист1!A23&amp;A11&amp;'Карточка ИП'!B21&amp;Лист1!A24&amp;Лист1!A12&amp;Лист1!A25&amp;Лист1!A11&amp;'Карточка ИП'!B14&amp;Лист1!A12&amp;Лист1!A26&amp;A79</f>
        <v xml:space="preserve">Фамилия Имя Отчество, паспорт серии 0000 № 000000, дата выдачи дд.мм.гггг г., выдан: Полностью как в паспорте, адрес регистрации: Область, город, улица, дом, корпус, квартира, именуемый(-ая) в дальнейшем "Продавец", от имени и в интересах которого, на основании Агентского договора № 0810 от 19.09.2022 г.,  действует Индивидуальный предприниматель Антонов Денис Николаевич, (ИНН 667327231596), в лице Антонова Дениса Николаевича, с одной стороны, </v>
      </c>
    </row>
    <row r="122" spans="1:1" x14ac:dyDescent="0.3">
      <c r="A122" t="e">
        <f>A121&amp;Закрывашки!#REF!&amp;Лист1!A79&amp;Лист1!A25&amp;Закрывашки!#REF!&amp;Лист1!A79&amp;Лист1!A118&amp;Закрывашки!#REF!&amp;Лист1!A79&amp;A119&amp;Закрывашки!#REF!&amp;Лист1!A79&amp;Лист1!A120</f>
        <v>#REF!</v>
      </c>
    </row>
    <row r="124" spans="1:1" x14ac:dyDescent="0.3">
      <c r="A124" t="s">
        <v>293</v>
      </c>
    </row>
    <row r="125" spans="1:1" x14ac:dyDescent="0.3">
      <c r="A125" t="e">
        <f>A121&amp;Закрывашки!#REF!&amp;Лист1!A79&amp;Лист1!A25&amp;Закрывашки!#REF!&amp;Лист1!A79&amp;Лист1!A118&amp;Закрывашки!#REF!&amp;Лист1!A79&amp;A119&amp;Закрывашки!#REF!&amp;Лист1!A79&amp;Лист1!A124</f>
        <v>#REF!</v>
      </c>
    </row>
    <row r="126" spans="1:1" x14ac:dyDescent="0.3">
      <c r="A126" s="52" t="s">
        <v>265</v>
      </c>
    </row>
    <row r="127" spans="1:1" x14ac:dyDescent="0.3">
      <c r="A127" t="s">
        <v>404</v>
      </c>
    </row>
    <row r="128" spans="1:1" x14ac:dyDescent="0.3">
      <c r="A128" t="s">
        <v>405</v>
      </c>
    </row>
    <row r="129" spans="1:1" x14ac:dyDescent="0.3">
      <c r="A129" t="s">
        <v>406</v>
      </c>
    </row>
    <row r="130" spans="1:1" x14ac:dyDescent="0.3">
      <c r="A130" t="s">
        <v>407</v>
      </c>
    </row>
    <row r="131" spans="1:1" x14ac:dyDescent="0.3">
      <c r="A131" t="s">
        <v>267</v>
      </c>
    </row>
    <row r="132" spans="1:1" x14ac:dyDescent="0.3">
      <c r="A132" t="s">
        <v>408</v>
      </c>
    </row>
    <row r="133" spans="1:1" x14ac:dyDescent="0.3">
      <c r="A133" t="s">
        <v>314</v>
      </c>
    </row>
    <row r="134" spans="1:1" x14ac:dyDescent="0.3">
      <c r="A134" t="s">
        <v>409</v>
      </c>
    </row>
    <row r="135" spans="1:1" x14ac:dyDescent="0.3">
      <c r="A135" t="s">
        <v>410</v>
      </c>
    </row>
    <row r="136" spans="1:1" x14ac:dyDescent="0.3">
      <c r="A136" t="s">
        <v>411</v>
      </c>
    </row>
    <row r="137" spans="1:1" x14ac:dyDescent="0.3">
      <c r="A137" t="s">
        <v>412</v>
      </c>
    </row>
    <row r="138" spans="1:1" x14ac:dyDescent="0.3">
      <c r="A138" t="str">
        <f>'Данные Клиента Продавца и Авто'!B7&amp;Лист1!A131&amp;Лист1!A127&amp;'Данные Клиента Продавца и Авто'!B9&amp;Лист1!A131&amp;'Данные Клиента Продавца и Авто'!B8&amp;Лист1!A126&amp;Лист1!A128&amp;Лист1!A129&amp;'Данные Клиента Продавца и Авто'!B11&amp;Лист1!A126&amp;Лист1!A130&amp;'Данные Клиента Продавца и Авто'!B12&amp;Лист1!A131&amp;Лист1!A132&amp;'Данные Клиента Продавца и Авто'!B14&amp;Лист1!A126&amp;Лист1!A133&amp;'Данные Клиента Продавца и Авто'!B13&amp;Лист1!A131&amp;Лист1!A134&amp;'Данные Клиента Продавца и Авто'!B15&amp;Лист1!A131&amp;Лист1!A135&amp;'Данные Клиента Продавца и Авто'!B17</f>
        <v>Фамилия Имя Отчество, место рождения: дд.мм.гггг, дд.мм.гггг г.р., паспорт серии 0000 № 000000, выдан дд.мм.гггг г., Полностью как в паспорте, код подразделения 000-000, зарегестрированный по адресу: Область, город, улица, дом, корпус, квартира</v>
      </c>
    </row>
    <row r="139" spans="1:1" x14ac:dyDescent="0.3">
      <c r="A139" t="str">
        <f>A138&amp;A131&amp;A136</f>
        <v xml:space="preserve">Фамилия Имя Отчество, место рождения: дд.мм.гггг, дд.мм.гггг г.р., паспорт серии 0000 № 000000, выдан дд.мм.гггг г., Полностью как в паспорте, код подразделения 000-000, зарегестрированный по адресу: Область, город, улица, дом, корпус, квартира, именуемый в дальнейшем "Продавец" с одной стороны, и </v>
      </c>
    </row>
    <row r="140" spans="1:1" x14ac:dyDescent="0.3">
      <c r="A140" t="str">
        <f>'Данные Продажи'!B6&amp;Лист1!A131&amp;Лист1!A127&amp;'Данные Продажи'!B8&amp;A131&amp;'Данные Продажи'!B7&amp;Лист1!A126&amp;Лист1!A128&amp;Лист1!A129&amp;'Данные Продажи'!B10&amp;Лист1!A126&amp;Лист1!A130&amp;'Данные Продажи'!B11&amp;Лист1!A131&amp;Лист1!A132&amp;'Данные Продажи'!B13&amp;Лист1!A133&amp;'Данные Продажи'!B12&amp;Лист1!A131&amp;Лист1!A134&amp;'Данные Продажи'!B14&amp;Лист1!A131&amp;Лист1!A135&amp;'Данные Продажи'!B16</f>
        <v>Швецов Евгений Мизайлович, место рождения: гор. Свердловск, 23.07.1981 г.р., паспорт серии 6504 № 426241, выдан 30.07.2003г., Орджоникидзевским РУВД города Екатеринбурга, код подразделения 662-007, зарегестрированный по адресу: Свердловская область г. Екатеринбург пер. Симбирский д. 2/4, кв. 115</v>
      </c>
    </row>
    <row r="141" spans="1:1" x14ac:dyDescent="0.3">
      <c r="A141" t="str">
        <f>A140&amp;A131&amp;A137</f>
        <v xml:space="preserve">Швецов Евгений Мизайлович, место рождения: гор. Свердловск, 23.07.1981 г.р., паспорт серии 6504 № 426241, выдан 30.07.2003г., Орджоникидзевским РУВД города Екатеринбурга, код подразделения 662-007, зарегестрированный по адресу: Свердловская область г. Екатеринбург пер. Симбирский д. 2/4, кв. 115, именуемый в дальнейшем "Покупатель" с другой стороны, заключили договор о нижеследующем: </v>
      </c>
    </row>
    <row r="142" spans="1:1" x14ac:dyDescent="0.3">
      <c r="A142" t="str">
        <f>A139&amp;A141</f>
        <v xml:space="preserve">Фамилия Имя Отчество, место рождения: дд.мм.гггг, дд.мм.гггг г.р., паспорт серии 0000 № 000000, выдан дд.мм.гггг г., Полностью как в паспорте, код подразделения 000-000, зарегестрированный по адресу: Область, город, улица, дом, корпус, квартира, именуемый в дальнейшем "Продавец" с одной стороны, и Швецов Евгений Мизайлович, место рождения: гор. Свердловск, 23.07.1981 г.р., паспорт серии 6504 № 426241, выдан 30.07.2003г., Орджоникидзевским РУВД города Екатеринбурга, код подразделения 662-007, зарегестрированный по адресу: Свердловская область г. Екатеринбург пер. Симбирский д. 2/4, кв. 115, именуемый в дальнейшем "Покупатель" с другой стороны, заключили договор о нижеследующем: </v>
      </c>
    </row>
    <row r="143" spans="1:1" x14ac:dyDescent="0.3">
      <c r="A143" t="s">
        <v>413</v>
      </c>
    </row>
    <row r="144" spans="1:1" x14ac:dyDescent="0.3">
      <c r="A144" t="e">
        <f ca="1">A143&amp;Закрывашки!B6&amp;Лист1!A126&amp;Закрывашки!B7</f>
        <v>#NAME?</v>
      </c>
    </row>
    <row r="146" spans="1:1" x14ac:dyDescent="0.3">
      <c r="A146" t="e">
        <f ca="1">ЧислоПропись('Данные Продажи'!B18)</f>
        <v>#NAME?</v>
      </c>
    </row>
    <row r="147" spans="1:1" x14ac:dyDescent="0.3">
      <c r="A147" t="e">
        <f ca="1">A143&amp;'Данные Продажи'!B18&amp;Лист1!A126&amp;'Данные Продажи'!B19</f>
        <v>#NAME?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>
    <tabColor rgb="FF00B0F0"/>
  </sheetPr>
  <dimension ref="A1:B47"/>
  <sheetViews>
    <sheetView tabSelected="1" view="pageLayout" zoomScale="115" zoomScaleNormal="85" zoomScaleSheetLayoutView="85" zoomScalePageLayoutView="115" workbookViewId="0">
      <selection activeCell="B3" sqref="B3"/>
    </sheetView>
  </sheetViews>
  <sheetFormatPr defaultRowHeight="14.4" x14ac:dyDescent="0.3"/>
  <cols>
    <col min="1" max="1" width="47.109375" customWidth="1"/>
    <col min="2" max="2" width="49.21875" customWidth="1"/>
  </cols>
  <sheetData>
    <row r="1" spans="1:2" ht="18" x14ac:dyDescent="0.35">
      <c r="A1" s="75" t="s">
        <v>420</v>
      </c>
      <c r="B1" s="75"/>
    </row>
    <row r="2" spans="1:2" x14ac:dyDescent="0.3">
      <c r="A2" s="4" t="s">
        <v>305</v>
      </c>
      <c r="B2" s="40" t="s">
        <v>306</v>
      </c>
    </row>
    <row r="3" spans="1:2" x14ac:dyDescent="0.3">
      <c r="A3" s="4" t="s">
        <v>416</v>
      </c>
      <c r="B3" s="40" t="s">
        <v>439</v>
      </c>
    </row>
    <row r="4" spans="1:2" x14ac:dyDescent="0.3">
      <c r="A4" s="4" t="s">
        <v>21</v>
      </c>
      <c r="B4" s="68" t="s">
        <v>440</v>
      </c>
    </row>
    <row r="5" spans="1:2" ht="18" x14ac:dyDescent="0.35">
      <c r="A5" s="75" t="s">
        <v>421</v>
      </c>
      <c r="B5" s="75"/>
    </row>
    <row r="6" spans="1:2" x14ac:dyDescent="0.3">
      <c r="A6" s="4" t="s">
        <v>20</v>
      </c>
      <c r="B6" s="13" t="s">
        <v>426</v>
      </c>
    </row>
    <row r="7" spans="1:2" x14ac:dyDescent="0.3">
      <c r="A7" s="4" t="s">
        <v>17</v>
      </c>
      <c r="B7" s="14" t="s">
        <v>427</v>
      </c>
    </row>
    <row r="8" spans="1:2" x14ac:dyDescent="0.3">
      <c r="A8" s="4" t="s">
        <v>19</v>
      </c>
      <c r="B8" s="70" t="s">
        <v>428</v>
      </c>
    </row>
    <row r="9" spans="1:2" x14ac:dyDescent="0.3">
      <c r="A9" s="4" t="s">
        <v>289</v>
      </c>
      <c r="B9" s="14" t="s">
        <v>428</v>
      </c>
    </row>
    <row r="10" spans="1:2" ht="18" x14ac:dyDescent="0.35">
      <c r="A10" s="75" t="s">
        <v>422</v>
      </c>
      <c r="B10" s="75"/>
    </row>
    <row r="11" spans="1:2" x14ac:dyDescent="0.3">
      <c r="A11" s="4" t="s">
        <v>18</v>
      </c>
      <c r="B11" s="40" t="s">
        <v>429</v>
      </c>
    </row>
    <row r="12" spans="1:2" x14ac:dyDescent="0.3">
      <c r="A12" s="4" t="s">
        <v>26</v>
      </c>
      <c r="B12" s="40" t="s">
        <v>430</v>
      </c>
    </row>
    <row r="13" spans="1:2" x14ac:dyDescent="0.3">
      <c r="A13" s="4" t="s">
        <v>22</v>
      </c>
      <c r="B13" s="42" t="s">
        <v>431</v>
      </c>
    </row>
    <row r="14" spans="1:2" x14ac:dyDescent="0.3">
      <c r="A14" s="4" t="s">
        <v>27</v>
      </c>
      <c r="B14" s="70" t="s">
        <v>428</v>
      </c>
    </row>
    <row r="15" spans="1:2" x14ac:dyDescent="0.3">
      <c r="A15" s="4" t="s">
        <v>23</v>
      </c>
      <c r="B15" s="13" t="s">
        <v>432</v>
      </c>
    </row>
    <row r="16" spans="1:2" x14ac:dyDescent="0.3">
      <c r="A16" s="4" t="s">
        <v>24</v>
      </c>
      <c r="B16" s="12">
        <v>89000000000</v>
      </c>
    </row>
    <row r="17" spans="1:2" x14ac:dyDescent="0.3">
      <c r="A17" s="4" t="s">
        <v>215</v>
      </c>
      <c r="B17" s="15" t="s">
        <v>433</v>
      </c>
    </row>
    <row r="18" spans="1:2" ht="18" x14ac:dyDescent="0.35">
      <c r="A18" s="75" t="s">
        <v>28</v>
      </c>
      <c r="B18" s="75"/>
    </row>
    <row r="19" spans="1:2" x14ac:dyDescent="0.3">
      <c r="A19" s="4" t="s">
        <v>32</v>
      </c>
      <c r="B19" s="13" t="s">
        <v>434</v>
      </c>
    </row>
    <row r="20" spans="1:2" x14ac:dyDescent="0.3">
      <c r="A20" s="4" t="s">
        <v>33</v>
      </c>
      <c r="B20" s="13" t="s">
        <v>435</v>
      </c>
    </row>
    <row r="21" spans="1:2" x14ac:dyDescent="0.3">
      <c r="A21" s="4" t="s">
        <v>34</v>
      </c>
      <c r="B21" s="13" t="s">
        <v>40</v>
      </c>
    </row>
    <row r="22" spans="1:2" x14ac:dyDescent="0.3">
      <c r="A22" s="4" t="s">
        <v>35</v>
      </c>
      <c r="B22" s="13" t="s">
        <v>41</v>
      </c>
    </row>
    <row r="23" spans="1:2" x14ac:dyDescent="0.3">
      <c r="A23" s="4" t="s">
        <v>36</v>
      </c>
      <c r="B23" s="12" t="s">
        <v>436</v>
      </c>
    </row>
    <row r="24" spans="1:2" x14ac:dyDescent="0.3">
      <c r="A24" s="4" t="s">
        <v>37</v>
      </c>
      <c r="B24" s="13" t="s">
        <v>42</v>
      </c>
    </row>
    <row r="25" spans="1:2" x14ac:dyDescent="0.3">
      <c r="A25" s="4" t="s">
        <v>38</v>
      </c>
      <c r="B25" s="13" t="s">
        <v>434</v>
      </c>
    </row>
    <row r="26" spans="1:2" x14ac:dyDescent="0.3">
      <c r="A26" s="4" t="s">
        <v>39</v>
      </c>
      <c r="B26" s="13" t="s">
        <v>437</v>
      </c>
    </row>
    <row r="27" spans="1:2" x14ac:dyDescent="0.3">
      <c r="A27" s="76" t="s">
        <v>244</v>
      </c>
      <c r="B27" s="78" t="s">
        <v>309</v>
      </c>
    </row>
    <row r="28" spans="1:2" x14ac:dyDescent="0.3">
      <c r="A28" s="77"/>
      <c r="B28" s="79"/>
    </row>
    <row r="29" spans="1:2" x14ac:dyDescent="0.3">
      <c r="A29" s="41" t="s">
        <v>242</v>
      </c>
      <c r="B29" s="40" t="s">
        <v>438</v>
      </c>
    </row>
    <row r="30" spans="1:2" ht="18" x14ac:dyDescent="0.35">
      <c r="A30" s="75" t="s">
        <v>270</v>
      </c>
      <c r="B30" s="75"/>
    </row>
    <row r="31" spans="1:2" x14ac:dyDescent="0.3">
      <c r="A31" s="4" t="s">
        <v>87</v>
      </c>
      <c r="B31" s="16">
        <v>100000</v>
      </c>
    </row>
    <row r="32" spans="1:2" x14ac:dyDescent="0.3">
      <c r="A32" s="4" t="s">
        <v>88</v>
      </c>
      <c r="B32" s="37" t="e">
        <f ca="1">Лист1!A1&amp;Лист1!A2&amp;Лист1!A3</f>
        <v>#NAME?</v>
      </c>
    </row>
    <row r="33" spans="1:2" ht="18" x14ac:dyDescent="0.35">
      <c r="A33" s="75" t="s">
        <v>243</v>
      </c>
      <c r="B33" s="75"/>
    </row>
    <row r="34" spans="1:2" x14ac:dyDescent="0.3">
      <c r="A34" s="18" t="s">
        <v>146</v>
      </c>
      <c r="B34" s="68" t="s">
        <v>308</v>
      </c>
    </row>
    <row r="35" spans="1:2" x14ac:dyDescent="0.3">
      <c r="A35" s="71" t="s">
        <v>414</v>
      </c>
      <c r="B35" s="12" t="s">
        <v>310</v>
      </c>
    </row>
    <row r="36" spans="1:2" x14ac:dyDescent="0.3">
      <c r="A36" s="18" t="s">
        <v>148</v>
      </c>
      <c r="B36" s="12" t="s">
        <v>311</v>
      </c>
    </row>
    <row r="37" spans="1:2" x14ac:dyDescent="0.3">
      <c r="A37" s="18" t="s">
        <v>147</v>
      </c>
      <c r="B37" s="12" t="s">
        <v>312</v>
      </c>
    </row>
    <row r="38" spans="1:2" x14ac:dyDescent="0.3">
      <c r="A38" s="38" t="s">
        <v>218</v>
      </c>
      <c r="B38" s="39">
        <f>B31</f>
        <v>100000</v>
      </c>
    </row>
    <row r="39" spans="1:2" x14ac:dyDescent="0.3">
      <c r="A39" s="18" t="s">
        <v>219</v>
      </c>
      <c r="B39" s="37" t="e">
        <f ca="1">Лист1!A1&amp;Лист1!A5&amp;Лист1!A4</f>
        <v>#NAME?</v>
      </c>
    </row>
    <row r="40" spans="1:2" x14ac:dyDescent="0.3">
      <c r="A40" s="18" t="s">
        <v>221</v>
      </c>
      <c r="B40" s="39">
        <f>B38*20/120</f>
        <v>16666.666666666668</v>
      </c>
    </row>
    <row r="41" spans="1:2" x14ac:dyDescent="0.3">
      <c r="A41" s="38" t="s">
        <v>238</v>
      </c>
      <c r="B41" s="72" t="s">
        <v>417</v>
      </c>
    </row>
    <row r="42" spans="1:2" x14ac:dyDescent="0.3">
      <c r="A42" s="18" t="s">
        <v>217</v>
      </c>
      <c r="B42" s="37" t="e">
        <f ca="1">Лист1!A1&amp;Лист1!A8&amp;Лист1!A6&amp;'Данные Клиента Продавца и Авто'!B41&amp;Лист1!A7</f>
        <v>#NAME?</v>
      </c>
    </row>
    <row r="43" spans="1:2" x14ac:dyDescent="0.3">
      <c r="A43" s="57" t="s">
        <v>396</v>
      </c>
      <c r="B43" s="12" t="s">
        <v>313</v>
      </c>
    </row>
    <row r="44" spans="1:2" x14ac:dyDescent="0.3">
      <c r="A44" s="57" t="s">
        <v>397</v>
      </c>
      <c r="B44" s="12" t="s">
        <v>313</v>
      </c>
    </row>
    <row r="45" spans="1:2" x14ac:dyDescent="0.3">
      <c r="A45" s="18" t="s">
        <v>220</v>
      </c>
      <c r="B45" s="12" t="s">
        <v>418</v>
      </c>
    </row>
    <row r="47" spans="1:2" x14ac:dyDescent="0.3">
      <c r="A47" t="s">
        <v>216</v>
      </c>
      <c r="B47" s="2" t="str">
        <f>B6</f>
        <v>Фамилия И.О.</v>
      </c>
    </row>
  </sheetData>
  <mergeCells count="8">
    <mergeCell ref="A1:B1"/>
    <mergeCell ref="A33:B33"/>
    <mergeCell ref="A5:B5"/>
    <mergeCell ref="A10:B10"/>
    <mergeCell ref="A30:B30"/>
    <mergeCell ref="A18:B18"/>
    <mergeCell ref="A27:A28"/>
    <mergeCell ref="B27:B28"/>
  </mergeCells>
  <pageMargins left="0.23622047244094491" right="0.23622047244094491" top="0.39370078740157483" bottom="0.74803149606299213" header="0.31496062992125984" footer="0.31496062992125984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FD4C4-DC59-4530-9978-0A764C190447}">
  <sheetPr codeName="Лист8">
    <tabColor rgb="FFFFFF00"/>
  </sheetPr>
  <dimension ref="A1:B19"/>
  <sheetViews>
    <sheetView view="pageLayout" zoomScaleNormal="100" workbookViewId="0">
      <selection activeCell="A20" sqref="A20"/>
    </sheetView>
  </sheetViews>
  <sheetFormatPr defaultRowHeight="14.4" x14ac:dyDescent="0.3"/>
  <cols>
    <col min="1" max="2" width="47.21875" customWidth="1"/>
  </cols>
  <sheetData>
    <row r="1" spans="1:2" ht="18" x14ac:dyDescent="0.35">
      <c r="A1" s="75" t="s">
        <v>424</v>
      </c>
      <c r="B1" s="75"/>
    </row>
    <row r="2" spans="1:2" x14ac:dyDescent="0.3">
      <c r="A2" s="4" t="s">
        <v>305</v>
      </c>
      <c r="B2" s="17" t="s">
        <v>306</v>
      </c>
    </row>
    <row r="3" spans="1:2" x14ac:dyDescent="0.3">
      <c r="A3" s="4" t="s">
        <v>21</v>
      </c>
      <c r="B3" s="69" t="s">
        <v>440</v>
      </c>
    </row>
    <row r="4" spans="1:2" ht="18" x14ac:dyDescent="0.35">
      <c r="A4" s="75" t="s">
        <v>425</v>
      </c>
      <c r="B4" s="75"/>
    </row>
    <row r="5" spans="1:2" x14ac:dyDescent="0.3">
      <c r="A5" s="4" t="s">
        <v>20</v>
      </c>
      <c r="B5" s="13" t="s">
        <v>442</v>
      </c>
    </row>
    <row r="6" spans="1:2" x14ac:dyDescent="0.3">
      <c r="A6" s="4" t="s">
        <v>17</v>
      </c>
      <c r="B6" s="14" t="s">
        <v>443</v>
      </c>
    </row>
    <row r="7" spans="1:2" x14ac:dyDescent="0.3">
      <c r="A7" s="4" t="s">
        <v>19</v>
      </c>
      <c r="B7" s="70" t="s">
        <v>444</v>
      </c>
    </row>
    <row r="8" spans="1:2" x14ac:dyDescent="0.3">
      <c r="A8" s="51" t="s">
        <v>289</v>
      </c>
      <c r="B8" s="14" t="s">
        <v>445</v>
      </c>
    </row>
    <row r="9" spans="1:2" ht="18" x14ac:dyDescent="0.35">
      <c r="A9" s="75" t="s">
        <v>25</v>
      </c>
      <c r="B9" s="75"/>
    </row>
    <row r="10" spans="1:2" x14ac:dyDescent="0.3">
      <c r="A10" s="4" t="s">
        <v>18</v>
      </c>
      <c r="B10" s="40" t="s">
        <v>446</v>
      </c>
    </row>
    <row r="11" spans="1:2" x14ac:dyDescent="0.3">
      <c r="A11" s="4" t="s">
        <v>26</v>
      </c>
      <c r="B11" s="40" t="s">
        <v>447</v>
      </c>
    </row>
    <row r="12" spans="1:2" x14ac:dyDescent="0.3">
      <c r="A12" s="4" t="s">
        <v>22</v>
      </c>
      <c r="B12" s="42" t="s">
        <v>448</v>
      </c>
    </row>
    <row r="13" spans="1:2" x14ac:dyDescent="0.3">
      <c r="A13" s="4" t="s">
        <v>27</v>
      </c>
      <c r="B13" s="70" t="s">
        <v>449</v>
      </c>
    </row>
    <row r="14" spans="1:2" x14ac:dyDescent="0.3">
      <c r="A14" s="4" t="s">
        <v>23</v>
      </c>
      <c r="B14" s="13" t="s">
        <v>450</v>
      </c>
    </row>
    <row r="15" spans="1:2" x14ac:dyDescent="0.3">
      <c r="A15" s="4" t="s">
        <v>24</v>
      </c>
      <c r="B15" s="12">
        <v>89086391196</v>
      </c>
    </row>
    <row r="16" spans="1:2" ht="28.8" x14ac:dyDescent="0.3">
      <c r="A16" s="4" t="s">
        <v>215</v>
      </c>
      <c r="B16" s="15" t="s">
        <v>451</v>
      </c>
    </row>
    <row r="18" spans="1:2" x14ac:dyDescent="0.3">
      <c r="A18" s="4" t="s">
        <v>441</v>
      </c>
      <c r="B18" s="27">
        <v>150000</v>
      </c>
    </row>
    <row r="19" spans="1:2" x14ac:dyDescent="0.3">
      <c r="A19" s="4" t="s">
        <v>226</v>
      </c>
      <c r="B19" s="74" t="e">
        <f ca="1">Лист1!A1&amp;Лист1!A146&amp;Лист1!A4</f>
        <v>#NAME?</v>
      </c>
    </row>
  </sheetData>
  <mergeCells count="3">
    <mergeCell ref="A4:B4"/>
    <mergeCell ref="A9:B9"/>
    <mergeCell ref="A1:B1"/>
  </mergeCells>
  <pageMargins left="0.25" right="0.25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9">
    <tabColor rgb="FFFFC000"/>
  </sheetPr>
  <dimension ref="A1:B24"/>
  <sheetViews>
    <sheetView view="pageLayout" zoomScaleNormal="85" zoomScaleSheetLayoutView="115" workbookViewId="0">
      <selection activeCell="A7" sqref="A7"/>
    </sheetView>
  </sheetViews>
  <sheetFormatPr defaultRowHeight="14.4" x14ac:dyDescent="0.3"/>
  <cols>
    <col min="1" max="1" width="44.21875" customWidth="1"/>
    <col min="2" max="2" width="39" customWidth="1"/>
    <col min="3" max="3" width="22.21875" customWidth="1"/>
    <col min="4" max="4" width="65" customWidth="1"/>
  </cols>
  <sheetData>
    <row r="1" spans="1:2" ht="18" x14ac:dyDescent="0.35">
      <c r="A1" s="75" t="s">
        <v>222</v>
      </c>
      <c r="B1" s="75"/>
    </row>
    <row r="2" spans="1:2" x14ac:dyDescent="0.3">
      <c r="A2" s="4" t="s">
        <v>305</v>
      </c>
      <c r="B2" s="17" t="s">
        <v>306</v>
      </c>
    </row>
    <row r="3" spans="1:2" x14ac:dyDescent="0.3">
      <c r="A3" s="4" t="s">
        <v>415</v>
      </c>
      <c r="B3" s="17" t="s">
        <v>390</v>
      </c>
    </row>
    <row r="4" spans="1:2" x14ac:dyDescent="0.3">
      <c r="A4" s="4" t="s">
        <v>21</v>
      </c>
      <c r="B4" s="69" t="s">
        <v>391</v>
      </c>
    </row>
    <row r="5" spans="1:2" x14ac:dyDescent="0.3">
      <c r="A5" s="4" t="s">
        <v>223</v>
      </c>
      <c r="B5" s="15" t="s">
        <v>423</v>
      </c>
    </row>
    <row r="6" spans="1:2" x14ac:dyDescent="0.3">
      <c r="A6" s="4" t="s">
        <v>224</v>
      </c>
      <c r="B6" s="27">
        <v>1500000</v>
      </c>
    </row>
    <row r="7" spans="1:2" x14ac:dyDescent="0.3">
      <c r="A7" s="4" t="s">
        <v>226</v>
      </c>
      <c r="B7" s="36" t="e">
        <f ca="1">Лист1!A1&amp;Лист1!A9&amp;Лист1!A4</f>
        <v>#NAME?</v>
      </c>
    </row>
    <row r="8" spans="1:2" x14ac:dyDescent="0.3">
      <c r="A8" s="4" t="s">
        <v>225</v>
      </c>
      <c r="B8" s="35">
        <f>Закрывашки!B6-'Данные Клиента Продавца и Авто'!B31</f>
        <v>1400000</v>
      </c>
    </row>
    <row r="9" spans="1:2" x14ac:dyDescent="0.3">
      <c r="A9" s="4" t="s">
        <v>227</v>
      </c>
      <c r="B9" s="36" t="e">
        <f ca="1">Лист1!A1&amp;Лист1!A10&amp;Лист1!A4</f>
        <v>#NAME?</v>
      </c>
    </row>
    <row r="24" spans="1:1" x14ac:dyDescent="0.3">
      <c r="A24" t="s">
        <v>265</v>
      </c>
    </row>
  </sheetData>
  <mergeCells count="1">
    <mergeCell ref="A1:B1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7">
    <tabColor rgb="FF92D050"/>
  </sheetPr>
  <dimension ref="A9:B28"/>
  <sheetViews>
    <sheetView view="pageLayout" topLeftCell="A7" zoomScaleNormal="100" workbookViewId="0">
      <selection activeCell="B22" sqref="B22"/>
    </sheetView>
  </sheetViews>
  <sheetFormatPr defaultRowHeight="14.4" x14ac:dyDescent="0.3"/>
  <cols>
    <col min="1" max="2" width="47.77734375" style="44" customWidth="1"/>
    <col min="10" max="10" width="9.109375" customWidth="1"/>
  </cols>
  <sheetData>
    <row r="9" spans="1:2" x14ac:dyDescent="0.3">
      <c r="A9" s="80" t="s">
        <v>258</v>
      </c>
      <c r="B9" s="80"/>
    </row>
    <row r="11" spans="1:2" x14ac:dyDescent="0.3">
      <c r="A11" s="45" t="s">
        <v>246</v>
      </c>
      <c r="B11" s="46" t="s">
        <v>373</v>
      </c>
    </row>
    <row r="12" spans="1:2" x14ac:dyDescent="0.3">
      <c r="A12" s="45" t="s">
        <v>247</v>
      </c>
      <c r="B12" s="46" t="s">
        <v>374</v>
      </c>
    </row>
    <row r="13" spans="1:2" x14ac:dyDescent="0.3">
      <c r="A13" s="45" t="s">
        <v>17</v>
      </c>
      <c r="B13" s="46" t="s">
        <v>352</v>
      </c>
    </row>
    <row r="14" spans="1:2" x14ac:dyDescent="0.3">
      <c r="A14" s="45" t="s">
        <v>278</v>
      </c>
      <c r="B14" s="46" t="s">
        <v>375</v>
      </c>
    </row>
    <row r="15" spans="1:2" x14ac:dyDescent="0.3">
      <c r="A15" s="45" t="s">
        <v>307</v>
      </c>
      <c r="B15" s="46" t="s">
        <v>376</v>
      </c>
    </row>
    <row r="16" spans="1:2" x14ac:dyDescent="0.3">
      <c r="A16" s="45" t="s">
        <v>248</v>
      </c>
      <c r="B16" s="46" t="s">
        <v>377</v>
      </c>
    </row>
    <row r="17" spans="1:2" x14ac:dyDescent="0.3">
      <c r="A17" s="45" t="s">
        <v>249</v>
      </c>
      <c r="B17" s="46" t="s">
        <v>378</v>
      </c>
    </row>
    <row r="18" spans="1:2" x14ac:dyDescent="0.3">
      <c r="A18" s="45" t="s">
        <v>250</v>
      </c>
      <c r="B18" s="46" t="s">
        <v>379</v>
      </c>
    </row>
    <row r="19" spans="1:2" x14ac:dyDescent="0.3">
      <c r="A19" s="45" t="s">
        <v>251</v>
      </c>
      <c r="B19" s="47" t="s">
        <v>259</v>
      </c>
    </row>
    <row r="20" spans="1:2" x14ac:dyDescent="0.3">
      <c r="A20" s="45" t="s">
        <v>385</v>
      </c>
      <c r="B20" s="46" t="s">
        <v>380</v>
      </c>
    </row>
    <row r="21" spans="1:2" x14ac:dyDescent="0.3">
      <c r="A21" s="45" t="s">
        <v>252</v>
      </c>
      <c r="B21" s="46" t="s">
        <v>381</v>
      </c>
    </row>
    <row r="22" spans="1:2" x14ac:dyDescent="0.3">
      <c r="A22" s="45" t="s">
        <v>253</v>
      </c>
      <c r="B22" s="46"/>
    </row>
    <row r="23" spans="1:2" x14ac:dyDescent="0.3">
      <c r="A23" s="45" t="s">
        <v>254</v>
      </c>
      <c r="B23" s="46" t="s">
        <v>382</v>
      </c>
    </row>
    <row r="24" spans="1:2" x14ac:dyDescent="0.3">
      <c r="A24" s="45" t="s">
        <v>255</v>
      </c>
      <c r="B24" s="46" t="s">
        <v>383</v>
      </c>
    </row>
    <row r="25" spans="1:2" x14ac:dyDescent="0.3">
      <c r="A25" s="45" t="s">
        <v>256</v>
      </c>
      <c r="B25" s="46" t="s">
        <v>260</v>
      </c>
    </row>
    <row r="26" spans="1:2" ht="28.8" x14ac:dyDescent="0.3">
      <c r="A26" s="45" t="s">
        <v>257</v>
      </c>
      <c r="B26" s="46"/>
    </row>
    <row r="27" spans="1:2" x14ac:dyDescent="0.3">
      <c r="A27" s="45" t="s">
        <v>263</v>
      </c>
      <c r="B27" s="45" t="s">
        <v>384</v>
      </c>
    </row>
    <row r="28" spans="1:2" x14ac:dyDescent="0.3">
      <c r="A28" s="45"/>
      <c r="B28" s="45"/>
    </row>
  </sheetData>
  <mergeCells count="1">
    <mergeCell ref="A9:B9"/>
  </mergeCells>
  <hyperlinks>
    <hyperlink ref="B19" r:id="rId1" xr:uid="{00000000-0004-0000-0B00-000000000000}"/>
  </hyperlinks>
  <pageMargins left="0.23622047244094491" right="0.23622047244094491" top="0.39370078740157483" bottom="0.39370078740157483" header="0.31496062992125984" footer="0.31496062992125984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2">
    <tabColor rgb="FF92D050"/>
  </sheetPr>
  <dimension ref="A1:AL153"/>
  <sheetViews>
    <sheetView view="pageLayout" topLeftCell="A130" zoomScaleNormal="100" workbookViewId="0">
      <selection activeCell="AI151" sqref="AI151"/>
    </sheetView>
  </sheetViews>
  <sheetFormatPr defaultColWidth="2.77734375" defaultRowHeight="14.4" x14ac:dyDescent="0.3"/>
  <cols>
    <col min="1" max="1" width="2.77734375" style="5"/>
    <col min="2" max="2" width="2.6640625" style="5" customWidth="1"/>
    <col min="3" max="16" width="2.77734375" style="5"/>
    <col min="17" max="17" width="2.6640625" style="5" customWidth="1"/>
    <col min="18" max="26" width="2.77734375" style="5"/>
    <col min="27" max="27" width="2.6640625" style="5" customWidth="1"/>
    <col min="28" max="33" width="2.77734375" style="5"/>
    <col min="34" max="34" width="3.21875" style="5" customWidth="1"/>
    <col min="35" max="16384" width="2.77734375" style="5"/>
  </cols>
  <sheetData>
    <row r="1" spans="1:35" s="6" customFormat="1" ht="15.6" x14ac:dyDescent="0.3">
      <c r="L1" s="6" t="s">
        <v>29</v>
      </c>
      <c r="T1" s="87" t="str">
        <f>'Данные Клиента Продавца и Авто'!B3</f>
        <v>0810</v>
      </c>
      <c r="U1" s="87"/>
    </row>
    <row r="2" spans="1:35" x14ac:dyDescent="0.3">
      <c r="A2" s="5" t="str">
        <f>Лист1!A16&amp;Лист1!A48&amp;'Данные Клиента Продавца и Авто'!B2</f>
        <v>г. Екатеринбург</v>
      </c>
      <c r="P2" s="7"/>
      <c r="AC2" s="88" t="str">
        <f>'Данные Клиента Продавца и Авто'!B4&amp;Лист1!A48&amp;Лист1!A16</f>
        <v>19.09.2022 г.</v>
      </c>
      <c r="AD2" s="89"/>
      <c r="AE2" s="89"/>
      <c r="AF2" s="89"/>
      <c r="AG2" s="89"/>
      <c r="AH2" s="89"/>
    </row>
    <row r="3" spans="1:35" ht="15" customHeight="1" x14ac:dyDescent="0.3">
      <c r="A3" s="86" t="str">
        <f>Лист1!A87</f>
        <v xml:space="preserve">Гр. Фамилия Имя Отчество дд.мм.гггг г.р., паспорт серии 0000, номер 000000, дата выдачи дд.мм.гггг г., Код подразделения: 000-000, выдан: Полностью как в паспорте, адрес регистрации: Область, город, улица, дом, корпус, квартира, именуемый (-ая) в дальнейшем «Принципал», с одной стороны, и Индивидуальный предприниматель Антонов Денис Николаевич, именуемый в дальнейшем «Агент», с другой стороны, все вместе именуемые Стороны, заключили настоящий договор о нижеследующем: </v>
      </c>
      <c r="B3" s="86"/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86"/>
      <c r="S3" s="86"/>
      <c r="T3" s="86"/>
      <c r="U3" s="86"/>
      <c r="V3" s="86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</row>
    <row r="4" spans="1:35" x14ac:dyDescent="0.3">
      <c r="A4" s="86"/>
      <c r="B4" s="86"/>
      <c r="C4" s="86"/>
      <c r="D4" s="86"/>
      <c r="E4" s="86"/>
      <c r="F4" s="86"/>
      <c r="G4" s="86"/>
      <c r="H4" s="86"/>
      <c r="I4" s="86"/>
      <c r="J4" s="86"/>
      <c r="K4" s="86"/>
      <c r="L4" s="86"/>
      <c r="M4" s="86"/>
      <c r="N4" s="86"/>
      <c r="O4" s="86"/>
      <c r="P4" s="86"/>
      <c r="Q4" s="86"/>
      <c r="R4" s="86"/>
      <c r="S4" s="86"/>
      <c r="T4" s="86"/>
      <c r="U4" s="86"/>
      <c r="V4" s="86"/>
      <c r="W4" s="86"/>
      <c r="X4" s="86"/>
      <c r="Y4" s="86"/>
      <c r="Z4" s="86"/>
      <c r="AA4" s="86"/>
      <c r="AB4" s="86"/>
      <c r="AC4" s="86"/>
      <c r="AD4" s="86"/>
      <c r="AE4" s="86"/>
      <c r="AF4" s="86"/>
      <c r="AG4" s="86"/>
      <c r="AH4" s="86"/>
      <c r="AI4" s="86"/>
    </row>
    <row r="5" spans="1:35" ht="15" customHeight="1" x14ac:dyDescent="0.3">
      <c r="A5" s="86"/>
      <c r="B5" s="86"/>
      <c r="C5" s="86"/>
      <c r="D5" s="86"/>
      <c r="E5" s="86"/>
      <c r="F5" s="86"/>
      <c r="G5" s="86"/>
      <c r="H5" s="86"/>
      <c r="I5" s="86"/>
      <c r="J5" s="86"/>
      <c r="K5" s="86"/>
      <c r="L5" s="86"/>
      <c r="M5" s="86"/>
      <c r="N5" s="86"/>
      <c r="O5" s="86"/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</row>
    <row r="6" spans="1:35" x14ac:dyDescent="0.3">
      <c r="A6" s="86"/>
      <c r="B6" s="86"/>
      <c r="C6" s="86"/>
      <c r="D6" s="86"/>
      <c r="E6" s="86"/>
      <c r="F6" s="86"/>
      <c r="G6" s="86"/>
      <c r="H6" s="86"/>
      <c r="I6" s="86"/>
      <c r="J6" s="86"/>
      <c r="K6" s="86"/>
      <c r="L6" s="86"/>
      <c r="M6" s="86"/>
      <c r="N6" s="86"/>
      <c r="O6" s="86"/>
      <c r="P6" s="86"/>
      <c r="Q6" s="86"/>
      <c r="R6" s="86"/>
      <c r="S6" s="86"/>
      <c r="T6" s="86"/>
      <c r="U6" s="86"/>
      <c r="V6" s="86"/>
      <c r="W6" s="86"/>
      <c r="X6" s="86"/>
      <c r="Y6" s="86"/>
      <c r="Z6" s="86"/>
      <c r="AA6" s="86"/>
      <c r="AB6" s="86"/>
      <c r="AC6" s="86"/>
      <c r="AD6" s="86"/>
      <c r="AE6" s="86"/>
      <c r="AF6" s="86"/>
      <c r="AG6" s="86"/>
      <c r="AH6" s="86"/>
      <c r="AI6" s="86"/>
    </row>
    <row r="7" spans="1:35" x14ac:dyDescent="0.3">
      <c r="A7" s="86"/>
      <c r="B7" s="86"/>
      <c r="C7" s="86"/>
      <c r="D7" s="86"/>
      <c r="E7" s="86"/>
      <c r="F7" s="86"/>
      <c r="G7" s="86"/>
      <c r="H7" s="86"/>
      <c r="I7" s="86"/>
      <c r="J7" s="86"/>
      <c r="K7" s="86"/>
      <c r="L7" s="86"/>
      <c r="M7" s="86"/>
      <c r="N7" s="86"/>
      <c r="O7" s="86"/>
      <c r="P7" s="86"/>
      <c r="Q7" s="86"/>
      <c r="R7" s="86"/>
      <c r="S7" s="86"/>
      <c r="T7" s="86"/>
      <c r="U7" s="86"/>
      <c r="V7" s="86"/>
      <c r="W7" s="86"/>
      <c r="X7" s="86"/>
      <c r="Y7" s="86"/>
      <c r="Z7" s="86"/>
      <c r="AA7" s="86"/>
      <c r="AB7" s="86"/>
      <c r="AC7" s="86"/>
      <c r="AD7" s="86"/>
      <c r="AE7" s="86"/>
      <c r="AF7" s="86"/>
      <c r="AG7" s="86"/>
      <c r="AH7" s="86"/>
      <c r="AI7" s="86"/>
    </row>
    <row r="8" spans="1:35" x14ac:dyDescent="0.3">
      <c r="A8" s="86"/>
      <c r="B8" s="86"/>
      <c r="C8" s="86"/>
      <c r="D8" s="86"/>
      <c r="E8" s="86"/>
      <c r="F8" s="86"/>
      <c r="G8" s="86"/>
      <c r="H8" s="86"/>
      <c r="I8" s="86"/>
      <c r="J8" s="86"/>
      <c r="K8" s="86"/>
      <c r="L8" s="86"/>
      <c r="M8" s="86"/>
      <c r="N8" s="86"/>
      <c r="O8" s="86"/>
      <c r="P8" s="86"/>
      <c r="Q8" s="86"/>
      <c r="R8" s="86"/>
      <c r="S8" s="86"/>
      <c r="T8" s="86"/>
      <c r="U8" s="86"/>
      <c r="V8" s="86"/>
      <c r="W8" s="86"/>
      <c r="X8" s="86"/>
      <c r="Y8" s="86"/>
      <c r="Z8" s="86"/>
      <c r="AA8" s="86"/>
      <c r="AB8" s="86"/>
      <c r="AC8" s="86"/>
      <c r="AD8" s="86"/>
      <c r="AE8" s="86"/>
      <c r="AF8" s="86"/>
      <c r="AG8" s="86"/>
      <c r="AH8" s="86"/>
      <c r="AI8" s="86"/>
    </row>
    <row r="9" spans="1:35" x14ac:dyDescent="0.3">
      <c r="A9" s="86"/>
      <c r="B9" s="86"/>
      <c r="C9" s="86"/>
      <c r="D9" s="86"/>
      <c r="E9" s="86"/>
      <c r="F9" s="86"/>
      <c r="G9" s="86"/>
      <c r="H9" s="86"/>
      <c r="I9" s="86"/>
      <c r="J9" s="86"/>
      <c r="K9" s="86"/>
      <c r="L9" s="86"/>
      <c r="M9" s="86"/>
      <c r="N9" s="86"/>
      <c r="O9" s="86"/>
      <c r="P9" s="86"/>
      <c r="Q9" s="86"/>
      <c r="R9" s="86"/>
      <c r="S9" s="86"/>
      <c r="T9" s="86"/>
      <c r="U9" s="86"/>
      <c r="V9" s="86"/>
      <c r="W9" s="86"/>
      <c r="X9" s="86"/>
      <c r="Y9" s="86"/>
      <c r="Z9" s="86"/>
      <c r="AA9" s="86"/>
      <c r="AB9" s="86"/>
      <c r="AC9" s="86"/>
      <c r="AD9" s="86"/>
      <c r="AE9" s="86"/>
      <c r="AF9" s="86"/>
      <c r="AG9" s="86"/>
      <c r="AH9" s="86"/>
      <c r="AI9" s="86"/>
    </row>
    <row r="10" spans="1:35" x14ac:dyDescent="0.3">
      <c r="A10" s="81" t="s">
        <v>0</v>
      </c>
      <c r="B10" s="81"/>
      <c r="C10" s="81"/>
      <c r="D10" s="81"/>
      <c r="E10" s="81"/>
      <c r="F10" s="81"/>
      <c r="G10" s="81"/>
      <c r="H10" s="81"/>
      <c r="I10" s="81"/>
      <c r="J10" s="81"/>
      <c r="K10" s="81"/>
      <c r="L10" s="81"/>
      <c r="M10" s="81"/>
      <c r="N10" s="81"/>
      <c r="O10" s="81"/>
      <c r="P10" s="81"/>
      <c r="Q10" s="81"/>
      <c r="R10" s="81"/>
      <c r="S10" s="81"/>
      <c r="T10" s="81"/>
      <c r="U10" s="81"/>
      <c r="V10" s="81"/>
      <c r="W10" s="81"/>
      <c r="X10" s="81"/>
      <c r="Y10" s="81"/>
      <c r="Z10" s="81"/>
      <c r="AA10" s="81"/>
      <c r="AB10" s="81"/>
      <c r="AC10" s="81"/>
      <c r="AD10" s="81"/>
      <c r="AE10" s="81"/>
      <c r="AF10" s="81"/>
      <c r="AG10" s="81"/>
      <c r="AH10" s="81"/>
    </row>
    <row r="11" spans="1:35" x14ac:dyDescent="0.3">
      <c r="A11" s="5" t="s">
        <v>49</v>
      </c>
    </row>
    <row r="12" spans="1:35" x14ac:dyDescent="0.3">
      <c r="A12" s="5" t="s">
        <v>48</v>
      </c>
    </row>
    <row r="13" spans="1:35" x14ac:dyDescent="0.3">
      <c r="A13" s="5" t="s">
        <v>30</v>
      </c>
    </row>
    <row r="14" spans="1:35" x14ac:dyDescent="0.3">
      <c r="A14" s="5" t="s">
        <v>51</v>
      </c>
    </row>
    <row r="15" spans="1:35" x14ac:dyDescent="0.3">
      <c r="A15" s="5" t="s">
        <v>50</v>
      </c>
    </row>
    <row r="16" spans="1:35" x14ac:dyDescent="0.3">
      <c r="A16" s="5" t="s">
        <v>52</v>
      </c>
    </row>
    <row r="17" spans="1:34" x14ac:dyDescent="0.3">
      <c r="A17" s="5" t="s">
        <v>54</v>
      </c>
    </row>
    <row r="18" spans="1:34" x14ac:dyDescent="0.3">
      <c r="A18" s="5" t="s">
        <v>53</v>
      </c>
    </row>
    <row r="19" spans="1:34" x14ac:dyDescent="0.3">
      <c r="A19" s="5" t="s">
        <v>1</v>
      </c>
    </row>
    <row r="20" spans="1:34" x14ac:dyDescent="0.3">
      <c r="A20" s="5" t="s">
        <v>55</v>
      </c>
    </row>
    <row r="21" spans="1:34" x14ac:dyDescent="0.3">
      <c r="A21" s="5" t="s">
        <v>56</v>
      </c>
    </row>
    <row r="22" spans="1:34" x14ac:dyDescent="0.3">
      <c r="A22" s="5" t="s">
        <v>57</v>
      </c>
    </row>
    <row r="23" spans="1:34" x14ac:dyDescent="0.3">
      <c r="A23" s="5" t="s">
        <v>58</v>
      </c>
    </row>
    <row r="24" spans="1:34" x14ac:dyDescent="0.3">
      <c r="A24" s="5" t="s">
        <v>59</v>
      </c>
    </row>
    <row r="25" spans="1:34" x14ac:dyDescent="0.3">
      <c r="A25" s="48" t="s">
        <v>269</v>
      </c>
    </row>
    <row r="27" spans="1:34" x14ac:dyDescent="0.3">
      <c r="A27" s="5" t="s">
        <v>31</v>
      </c>
    </row>
    <row r="28" spans="1:34" x14ac:dyDescent="0.3">
      <c r="A28" s="83" t="s">
        <v>32</v>
      </c>
      <c r="B28" s="83"/>
      <c r="C28" s="83"/>
      <c r="D28" s="83"/>
      <c r="E28" s="83"/>
      <c r="F28" s="83"/>
      <c r="G28" s="83"/>
      <c r="H28" s="83"/>
      <c r="I28" s="83"/>
      <c r="J28" s="83"/>
      <c r="K28" s="83"/>
      <c r="L28" s="83"/>
      <c r="M28" s="83"/>
      <c r="N28" s="83"/>
      <c r="O28" s="83"/>
      <c r="P28" s="83"/>
      <c r="Q28" s="84" t="str">
        <f>'Данные Клиента Продавца и Авто'!B19</f>
        <v>VIN</v>
      </c>
      <c r="R28" s="84"/>
      <c r="S28" s="84"/>
      <c r="T28" s="84"/>
      <c r="U28" s="84"/>
      <c r="V28" s="84"/>
      <c r="W28" s="84"/>
      <c r="X28" s="84"/>
      <c r="Y28" s="84"/>
      <c r="Z28" s="84"/>
      <c r="AA28" s="84"/>
      <c r="AB28" s="84"/>
      <c r="AC28" s="84"/>
      <c r="AD28" s="84"/>
      <c r="AE28" s="84"/>
      <c r="AF28" s="84"/>
      <c r="AG28" s="84"/>
      <c r="AH28" s="84"/>
    </row>
    <row r="29" spans="1:34" x14ac:dyDescent="0.3">
      <c r="A29" s="83" t="s">
        <v>33</v>
      </c>
      <c r="B29" s="83"/>
      <c r="C29" s="83"/>
      <c r="D29" s="83"/>
      <c r="E29" s="83"/>
      <c r="F29" s="83"/>
      <c r="G29" s="83"/>
      <c r="H29" s="83"/>
      <c r="I29" s="83"/>
      <c r="J29" s="83"/>
      <c r="K29" s="83"/>
      <c r="L29" s="83"/>
      <c r="M29" s="83"/>
      <c r="N29" s="83"/>
      <c r="O29" s="83"/>
      <c r="P29" s="83"/>
      <c r="Q29" s="84" t="str">
        <f>'Данные Клиента Продавца и Авто'!B20</f>
        <v>Марка, модель</v>
      </c>
      <c r="R29" s="84"/>
      <c r="S29" s="84"/>
      <c r="T29" s="84"/>
      <c r="U29" s="84"/>
      <c r="V29" s="84"/>
      <c r="W29" s="84"/>
      <c r="X29" s="84"/>
      <c r="Y29" s="84"/>
      <c r="Z29" s="84"/>
      <c r="AA29" s="84"/>
      <c r="AB29" s="84"/>
      <c r="AC29" s="84"/>
      <c r="AD29" s="84"/>
      <c r="AE29" s="84"/>
      <c r="AF29" s="84"/>
      <c r="AG29" s="84"/>
      <c r="AH29" s="84"/>
    </row>
    <row r="30" spans="1:34" x14ac:dyDescent="0.3">
      <c r="A30" s="83" t="s">
        <v>34</v>
      </c>
      <c r="B30" s="83"/>
      <c r="C30" s="83"/>
      <c r="D30" s="83"/>
      <c r="E30" s="83"/>
      <c r="F30" s="83"/>
      <c r="G30" s="83"/>
      <c r="H30" s="83"/>
      <c r="I30" s="83"/>
      <c r="J30" s="83"/>
      <c r="K30" s="83"/>
      <c r="L30" s="83"/>
      <c r="M30" s="83"/>
      <c r="N30" s="83"/>
      <c r="O30" s="83"/>
      <c r="P30" s="83"/>
      <c r="Q30" s="84" t="str">
        <f>'Данные Клиента Продавца и Авто'!B21</f>
        <v xml:space="preserve">легковой </v>
      </c>
      <c r="R30" s="84"/>
      <c r="S30" s="84"/>
      <c r="T30" s="84"/>
      <c r="U30" s="84"/>
      <c r="V30" s="84"/>
      <c r="W30" s="84"/>
      <c r="X30" s="84"/>
      <c r="Y30" s="84"/>
      <c r="Z30" s="84"/>
      <c r="AA30" s="84"/>
      <c r="AB30" s="84"/>
      <c r="AC30" s="84"/>
      <c r="AD30" s="84"/>
      <c r="AE30" s="84"/>
      <c r="AF30" s="84"/>
      <c r="AG30" s="84"/>
      <c r="AH30" s="84"/>
    </row>
    <row r="31" spans="1:34" x14ac:dyDescent="0.3">
      <c r="A31" s="83" t="s">
        <v>35</v>
      </c>
      <c r="B31" s="83"/>
      <c r="C31" s="83"/>
      <c r="D31" s="83"/>
      <c r="E31" s="83"/>
      <c r="F31" s="83"/>
      <c r="G31" s="83"/>
      <c r="H31" s="83"/>
      <c r="I31" s="83"/>
      <c r="J31" s="83"/>
      <c r="K31" s="83"/>
      <c r="L31" s="83"/>
      <c r="M31" s="83"/>
      <c r="N31" s="83"/>
      <c r="O31" s="83"/>
      <c r="P31" s="83"/>
      <c r="Q31" s="84" t="str">
        <f>'Данные Клиента Продавца и Авто'!B22</f>
        <v>В</v>
      </c>
      <c r="R31" s="84"/>
      <c r="S31" s="84"/>
      <c r="T31" s="84"/>
      <c r="U31" s="84"/>
      <c r="V31" s="84"/>
      <c r="W31" s="84"/>
      <c r="X31" s="84"/>
      <c r="Y31" s="84"/>
      <c r="Z31" s="84"/>
      <c r="AA31" s="84"/>
      <c r="AB31" s="84"/>
      <c r="AC31" s="84"/>
      <c r="AD31" s="84"/>
      <c r="AE31" s="84"/>
      <c r="AF31" s="84"/>
      <c r="AG31" s="84"/>
      <c r="AH31" s="84"/>
    </row>
    <row r="32" spans="1:34" x14ac:dyDescent="0.3">
      <c r="A32" s="83" t="s">
        <v>36</v>
      </c>
      <c r="B32" s="83"/>
      <c r="C32" s="83"/>
      <c r="D32" s="83"/>
      <c r="E32" s="83"/>
      <c r="F32" s="83"/>
      <c r="G32" s="83"/>
      <c r="H32" s="83"/>
      <c r="I32" s="83"/>
      <c r="J32" s="83"/>
      <c r="K32" s="83"/>
      <c r="L32" s="83"/>
      <c r="M32" s="83"/>
      <c r="N32" s="83"/>
      <c r="O32" s="83"/>
      <c r="P32" s="83"/>
      <c r="Q32" s="84" t="str">
        <f>'Данные Клиента Продавца и Авто'!B23</f>
        <v>гггг</v>
      </c>
      <c r="R32" s="84"/>
      <c r="S32" s="84"/>
      <c r="T32" s="84"/>
      <c r="U32" s="84"/>
      <c r="V32" s="84"/>
      <c r="W32" s="84"/>
      <c r="X32" s="84"/>
      <c r="Y32" s="84"/>
      <c r="Z32" s="84"/>
      <c r="AA32" s="84"/>
      <c r="AB32" s="84"/>
      <c r="AC32" s="84"/>
      <c r="AD32" s="84"/>
      <c r="AE32" s="84"/>
      <c r="AF32" s="84"/>
      <c r="AG32" s="84"/>
      <c r="AH32" s="84"/>
    </row>
    <row r="33" spans="1:34" x14ac:dyDescent="0.3">
      <c r="A33" s="83" t="s">
        <v>37</v>
      </c>
      <c r="B33" s="83"/>
      <c r="C33" s="83"/>
      <c r="D33" s="83"/>
      <c r="E33" s="83"/>
      <c r="F33" s="83"/>
      <c r="G33" s="83"/>
      <c r="H33" s="83"/>
      <c r="I33" s="83"/>
      <c r="J33" s="83"/>
      <c r="K33" s="83"/>
      <c r="L33" s="83"/>
      <c r="M33" s="83"/>
      <c r="N33" s="83"/>
      <c r="O33" s="83"/>
      <c r="P33" s="83"/>
      <c r="Q33" s="84" t="str">
        <f>'Данные Клиента Продавца и Авто'!B24</f>
        <v>отсутствует</v>
      </c>
      <c r="R33" s="84"/>
      <c r="S33" s="84"/>
      <c r="T33" s="84"/>
      <c r="U33" s="84"/>
      <c r="V33" s="84"/>
      <c r="W33" s="84"/>
      <c r="X33" s="84"/>
      <c r="Y33" s="84"/>
      <c r="Z33" s="84"/>
      <c r="AA33" s="84"/>
      <c r="AB33" s="84"/>
      <c r="AC33" s="84"/>
      <c r="AD33" s="84"/>
      <c r="AE33" s="84"/>
      <c r="AF33" s="84"/>
      <c r="AG33" s="84"/>
      <c r="AH33" s="84"/>
    </row>
    <row r="34" spans="1:34" x14ac:dyDescent="0.3">
      <c r="A34" s="83" t="s">
        <v>38</v>
      </c>
      <c r="B34" s="83"/>
      <c r="C34" s="83"/>
      <c r="D34" s="83"/>
      <c r="E34" s="83"/>
      <c r="F34" s="83"/>
      <c r="G34" s="83"/>
      <c r="H34" s="83"/>
      <c r="I34" s="83"/>
      <c r="J34" s="83"/>
      <c r="K34" s="83"/>
      <c r="L34" s="83"/>
      <c r="M34" s="83"/>
      <c r="N34" s="83"/>
      <c r="O34" s="83"/>
      <c r="P34" s="83"/>
      <c r="Q34" s="84" t="str">
        <f>'Данные Клиента Продавца и Авто'!B25</f>
        <v>VIN</v>
      </c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</row>
    <row r="35" spans="1:34" x14ac:dyDescent="0.3">
      <c r="A35" s="83" t="s">
        <v>39</v>
      </c>
      <c r="B35" s="83"/>
      <c r="C35" s="83"/>
      <c r="D35" s="83"/>
      <c r="E35" s="83"/>
      <c r="F35" s="83"/>
      <c r="G35" s="83"/>
      <c r="H35" s="83"/>
      <c r="I35" s="83"/>
      <c r="J35" s="83"/>
      <c r="K35" s="83"/>
      <c r="L35" s="83"/>
      <c r="M35" s="83"/>
      <c r="N35" s="83"/>
      <c r="O35" s="83"/>
      <c r="P35" s="83"/>
      <c r="Q35" s="84" t="str">
        <f>'Данные Клиента Продавца и Авто'!B26</f>
        <v>Цвет авто как в ПТС</v>
      </c>
      <c r="R35" s="84"/>
      <c r="S35" s="84"/>
      <c r="T35" s="84"/>
      <c r="U35" s="84"/>
      <c r="V35" s="84"/>
      <c r="W35" s="84"/>
      <c r="X35" s="84"/>
      <c r="Y35" s="84"/>
      <c r="Z35" s="84"/>
      <c r="AA35" s="84"/>
      <c r="AB35" s="84"/>
      <c r="AC35" s="84"/>
      <c r="AD35" s="84"/>
      <c r="AE35" s="84"/>
      <c r="AF35" s="84"/>
      <c r="AG35" s="84"/>
      <c r="AH35" s="84"/>
    </row>
    <row r="36" spans="1:34" ht="15" customHeight="1" x14ac:dyDescent="0.3">
      <c r="A36" s="85" t="str">
        <f>'Данные Клиента Продавца и Авто'!A27</f>
        <v>Паспорт ТС / Электронный ПТС / Св-во регистрации ТС (серия, номер, кем выдан, дата выдачи):</v>
      </c>
      <c r="B36" s="85"/>
      <c r="C36" s="85"/>
      <c r="D36" s="85"/>
      <c r="E36" s="85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Q36" s="85" t="str">
        <f>'Данные Клиента Продавца и Авто'!B27</f>
        <v>77 УО 666029 Центральная акцизная таможня 12.07.2017</v>
      </c>
      <c r="R36" s="85"/>
      <c r="S36" s="85"/>
      <c r="T36" s="85"/>
      <c r="U36" s="85"/>
      <c r="V36" s="85"/>
      <c r="W36" s="85"/>
      <c r="X36" s="85"/>
      <c r="Y36" s="85"/>
      <c r="Z36" s="85"/>
      <c r="AA36" s="85"/>
      <c r="AB36" s="85"/>
      <c r="AC36" s="85"/>
      <c r="AD36" s="85"/>
      <c r="AE36" s="85"/>
      <c r="AF36" s="85"/>
      <c r="AG36" s="85"/>
      <c r="AH36" s="85"/>
    </row>
    <row r="37" spans="1:34" x14ac:dyDescent="0.3">
      <c r="A37" s="85"/>
      <c r="B37" s="85"/>
      <c r="C37" s="85"/>
      <c r="D37" s="85"/>
      <c r="E37" s="85"/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  <c r="S37" s="85"/>
      <c r="T37" s="85"/>
      <c r="U37" s="85"/>
      <c r="V37" s="85"/>
      <c r="W37" s="85"/>
      <c r="X37" s="85"/>
      <c r="Y37" s="85"/>
      <c r="Z37" s="85"/>
      <c r="AA37" s="85"/>
      <c r="AB37" s="85"/>
      <c r="AC37" s="85"/>
      <c r="AD37" s="85"/>
      <c r="AE37" s="85"/>
      <c r="AF37" s="85"/>
      <c r="AG37" s="85"/>
      <c r="AH37" s="85"/>
    </row>
    <row r="38" spans="1:34" x14ac:dyDescent="0.3">
      <c r="A38" s="8" t="s">
        <v>2</v>
      </c>
    </row>
    <row r="39" spans="1:34" x14ac:dyDescent="0.3">
      <c r="D39" s="5" t="s">
        <v>43</v>
      </c>
    </row>
    <row r="40" spans="1:34" x14ac:dyDescent="0.3">
      <c r="A40" s="5" t="s">
        <v>60</v>
      </c>
    </row>
    <row r="41" spans="1:34" x14ac:dyDescent="0.3">
      <c r="A41" s="5" t="s">
        <v>61</v>
      </c>
    </row>
    <row r="42" spans="1:34" x14ac:dyDescent="0.3">
      <c r="A42" s="5" t="s">
        <v>3</v>
      </c>
    </row>
    <row r="43" spans="1:34" x14ac:dyDescent="0.3">
      <c r="A43" s="5" t="s">
        <v>44</v>
      </c>
    </row>
    <row r="44" spans="1:34" x14ac:dyDescent="0.3">
      <c r="A44" s="5" t="s">
        <v>45</v>
      </c>
    </row>
    <row r="45" spans="1:34" x14ac:dyDescent="0.3">
      <c r="A45" s="5" t="s">
        <v>62</v>
      </c>
    </row>
    <row r="46" spans="1:34" x14ac:dyDescent="0.3">
      <c r="A46" s="9" t="s">
        <v>63</v>
      </c>
    </row>
    <row r="47" spans="1:34" x14ac:dyDescent="0.3">
      <c r="A47" s="9" t="s">
        <v>64</v>
      </c>
    </row>
    <row r="48" spans="1:34" x14ac:dyDescent="0.3">
      <c r="A48" s="9" t="s">
        <v>65</v>
      </c>
    </row>
    <row r="49" spans="1:34" x14ac:dyDescent="0.3">
      <c r="A49" s="9" t="s">
        <v>66</v>
      </c>
    </row>
    <row r="50" spans="1:34" x14ac:dyDescent="0.3">
      <c r="A50" s="9" t="s">
        <v>67</v>
      </c>
    </row>
    <row r="51" spans="1:34" x14ac:dyDescent="0.3">
      <c r="A51" s="5" t="s">
        <v>68</v>
      </c>
    </row>
    <row r="52" spans="1:34" x14ac:dyDescent="0.3">
      <c r="A52" s="5" t="s">
        <v>69</v>
      </c>
    </row>
    <row r="53" spans="1:34" x14ac:dyDescent="0.3">
      <c r="A53" s="5" t="s">
        <v>70</v>
      </c>
    </row>
    <row r="54" spans="1:34" x14ac:dyDescent="0.3">
      <c r="A54" s="5" t="s">
        <v>71</v>
      </c>
    </row>
    <row r="55" spans="1:34" x14ac:dyDescent="0.3">
      <c r="A55" s="5" t="s">
        <v>72</v>
      </c>
    </row>
    <row r="56" spans="1:34" x14ac:dyDescent="0.3">
      <c r="A56" s="5" t="s">
        <v>73</v>
      </c>
    </row>
    <row r="57" spans="1:34" x14ac:dyDescent="0.3">
      <c r="A57" s="5" t="s">
        <v>74</v>
      </c>
    </row>
    <row r="58" spans="1:34" x14ac:dyDescent="0.3">
      <c r="A58" s="5" t="s">
        <v>75</v>
      </c>
    </row>
    <row r="59" spans="1:34" x14ac:dyDescent="0.3">
      <c r="A59" s="5" t="s">
        <v>76</v>
      </c>
    </row>
    <row r="60" spans="1:34" x14ac:dyDescent="0.3">
      <c r="A60" s="81" t="s">
        <v>4</v>
      </c>
      <c r="B60" s="81"/>
      <c r="C60" s="81"/>
      <c r="D60" s="81"/>
      <c r="E60" s="81"/>
      <c r="F60" s="81"/>
      <c r="G60" s="81"/>
      <c r="H60" s="81"/>
      <c r="I60" s="81"/>
      <c r="J60" s="81"/>
      <c r="K60" s="81"/>
      <c r="L60" s="81"/>
      <c r="M60" s="81"/>
      <c r="N60" s="81"/>
      <c r="O60" s="81"/>
      <c r="P60" s="81"/>
      <c r="Q60" s="81"/>
      <c r="R60" s="81"/>
      <c r="S60" s="81"/>
      <c r="T60" s="81"/>
      <c r="U60" s="81"/>
      <c r="V60" s="81"/>
      <c r="W60" s="81"/>
      <c r="X60" s="81"/>
      <c r="Y60" s="81"/>
      <c r="Z60" s="81"/>
      <c r="AA60" s="81"/>
      <c r="AB60" s="81"/>
      <c r="AC60" s="81"/>
      <c r="AD60" s="81"/>
      <c r="AE60" s="81"/>
      <c r="AF60" s="81"/>
      <c r="AG60" s="81"/>
      <c r="AH60" s="81"/>
    </row>
    <row r="61" spans="1:34" x14ac:dyDescent="0.3">
      <c r="A61" s="5" t="s">
        <v>5</v>
      </c>
    </row>
    <row r="62" spans="1:34" x14ac:dyDescent="0.3">
      <c r="A62" s="5" t="s">
        <v>77</v>
      </c>
    </row>
    <row r="63" spans="1:34" x14ac:dyDescent="0.3">
      <c r="A63" s="5" t="s">
        <v>78</v>
      </c>
    </row>
    <row r="64" spans="1:34" x14ac:dyDescent="0.3">
      <c r="A64" s="5" t="s">
        <v>79</v>
      </c>
    </row>
    <row r="65" spans="1:35" x14ac:dyDescent="0.3">
      <c r="A65" s="5" t="s">
        <v>80</v>
      </c>
    </row>
    <row r="66" spans="1:35" x14ac:dyDescent="0.3">
      <c r="A66" s="5" t="s">
        <v>81</v>
      </c>
    </row>
    <row r="67" spans="1:35" x14ac:dyDescent="0.3">
      <c r="A67" s="5" t="s">
        <v>83</v>
      </c>
    </row>
    <row r="68" spans="1:35" x14ac:dyDescent="0.3">
      <c r="A68" s="5" t="s">
        <v>82</v>
      </c>
    </row>
    <row r="69" spans="1:35" x14ac:dyDescent="0.3">
      <c r="A69" s="5" t="s">
        <v>84</v>
      </c>
    </row>
    <row r="70" spans="1:35" x14ac:dyDescent="0.3">
      <c r="A70" s="5" t="s">
        <v>85</v>
      </c>
    </row>
    <row r="71" spans="1:35" x14ac:dyDescent="0.3">
      <c r="A71" s="86" t="e">
        <f ca="1">Лист1!A92</f>
        <v>#NAME?</v>
      </c>
      <c r="B71" s="86"/>
      <c r="C71" s="86"/>
      <c r="D71" s="86"/>
      <c r="E71" s="86"/>
      <c r="F71" s="86"/>
      <c r="G71" s="86"/>
      <c r="H71" s="86"/>
      <c r="I71" s="86"/>
      <c r="J71" s="86"/>
      <c r="K71" s="86"/>
      <c r="L71" s="86"/>
      <c r="M71" s="86"/>
      <c r="N71" s="86"/>
      <c r="O71" s="86"/>
      <c r="P71" s="86"/>
      <c r="Q71" s="86"/>
      <c r="R71" s="86"/>
      <c r="S71" s="86"/>
      <c r="T71" s="86"/>
      <c r="U71" s="86"/>
      <c r="V71" s="86"/>
      <c r="W71" s="86"/>
      <c r="X71" s="86"/>
      <c r="Y71" s="86"/>
      <c r="Z71" s="86"/>
      <c r="AA71" s="86"/>
      <c r="AB71" s="86"/>
      <c r="AC71" s="86"/>
      <c r="AD71" s="86"/>
      <c r="AE71" s="86"/>
      <c r="AF71" s="86"/>
      <c r="AG71" s="86"/>
      <c r="AH71" s="86"/>
      <c r="AI71" s="86"/>
    </row>
    <row r="72" spans="1:35" x14ac:dyDescent="0.3">
      <c r="A72" s="86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86"/>
      <c r="M72" s="86"/>
      <c r="N72" s="86"/>
      <c r="O72" s="86"/>
      <c r="P72" s="86"/>
      <c r="Q72" s="86"/>
      <c r="R72" s="86"/>
      <c r="S72" s="86"/>
      <c r="T72" s="86"/>
      <c r="U72" s="86"/>
      <c r="V72" s="86"/>
      <c r="W72" s="86"/>
      <c r="X72" s="86"/>
      <c r="Y72" s="86"/>
      <c r="Z72" s="86"/>
      <c r="AA72" s="86"/>
      <c r="AB72" s="86"/>
      <c r="AC72" s="86"/>
      <c r="AD72" s="86"/>
      <c r="AE72" s="86"/>
      <c r="AF72" s="86"/>
      <c r="AG72" s="86"/>
      <c r="AH72" s="86"/>
      <c r="AI72" s="86"/>
    </row>
    <row r="73" spans="1:35" x14ac:dyDescent="0.3">
      <c r="A73" s="5" t="s">
        <v>90</v>
      </c>
    </row>
    <row r="74" spans="1:35" x14ac:dyDescent="0.3">
      <c r="A74" s="5" t="s">
        <v>91</v>
      </c>
    </row>
    <row r="75" spans="1:35" x14ac:dyDescent="0.3">
      <c r="A75" s="5" t="s">
        <v>92</v>
      </c>
    </row>
    <row r="76" spans="1:35" x14ac:dyDescent="0.3">
      <c r="A76" s="5" t="s">
        <v>93</v>
      </c>
    </row>
    <row r="77" spans="1:35" x14ac:dyDescent="0.3">
      <c r="A77" s="5" t="s">
        <v>94</v>
      </c>
    </row>
    <row r="78" spans="1:35" x14ac:dyDescent="0.3">
      <c r="A78" s="5" t="s">
        <v>95</v>
      </c>
    </row>
    <row r="79" spans="1:35" x14ac:dyDescent="0.3">
      <c r="A79" s="5" t="s">
        <v>6</v>
      </c>
    </row>
    <row r="80" spans="1:35" x14ac:dyDescent="0.3">
      <c r="A80" s="5" t="s">
        <v>96</v>
      </c>
    </row>
    <row r="81" spans="1:34" x14ac:dyDescent="0.3">
      <c r="A81" s="5" t="s">
        <v>97</v>
      </c>
    </row>
    <row r="82" spans="1:34" x14ac:dyDescent="0.3">
      <c r="A82" s="5" t="s">
        <v>98</v>
      </c>
    </row>
    <row r="83" spans="1:34" x14ac:dyDescent="0.3">
      <c r="A83" s="5" t="s">
        <v>99</v>
      </c>
    </row>
    <row r="84" spans="1:34" x14ac:dyDescent="0.3">
      <c r="A84" s="5" t="s">
        <v>7</v>
      </c>
    </row>
    <row r="85" spans="1:34" x14ac:dyDescent="0.3">
      <c r="A85" s="5" t="s">
        <v>8</v>
      </c>
    </row>
    <row r="86" spans="1:34" x14ac:dyDescent="0.3">
      <c r="A86" s="5" t="s">
        <v>9</v>
      </c>
    </row>
    <row r="87" spans="1:34" x14ac:dyDescent="0.3">
      <c r="A87" s="5" t="s">
        <v>100</v>
      </c>
    </row>
    <row r="88" spans="1:34" x14ac:dyDescent="0.3">
      <c r="A88" s="5" t="s">
        <v>101</v>
      </c>
    </row>
    <row r="89" spans="1:34" x14ac:dyDescent="0.3">
      <c r="A89" s="81" t="s">
        <v>10</v>
      </c>
      <c r="B89" s="81"/>
      <c r="C89" s="81"/>
      <c r="D89" s="81"/>
      <c r="E89" s="81"/>
      <c r="F89" s="81"/>
      <c r="G89" s="81"/>
      <c r="H89" s="81"/>
      <c r="I89" s="81"/>
      <c r="J89" s="81"/>
      <c r="K89" s="81"/>
      <c r="L89" s="81"/>
      <c r="M89" s="81"/>
      <c r="N89" s="81"/>
      <c r="O89" s="81"/>
      <c r="P89" s="81"/>
      <c r="Q89" s="81"/>
      <c r="R89" s="81"/>
      <c r="S89" s="81"/>
      <c r="T89" s="81"/>
      <c r="U89" s="81"/>
      <c r="V89" s="81"/>
      <c r="W89" s="81"/>
      <c r="X89" s="81"/>
      <c r="Y89" s="81"/>
      <c r="Z89" s="81"/>
      <c r="AA89" s="81"/>
      <c r="AB89" s="81"/>
      <c r="AC89" s="81"/>
      <c r="AD89" s="81"/>
      <c r="AE89" s="81"/>
      <c r="AF89" s="81"/>
      <c r="AG89" s="81"/>
      <c r="AH89" s="81"/>
    </row>
    <row r="90" spans="1:34" x14ac:dyDescent="0.3">
      <c r="A90" s="5" t="s">
        <v>102</v>
      </c>
    </row>
    <row r="91" spans="1:34" x14ac:dyDescent="0.3">
      <c r="A91" s="5" t="s">
        <v>103</v>
      </c>
    </row>
    <row r="92" spans="1:34" x14ac:dyDescent="0.3">
      <c r="A92" s="5" t="s">
        <v>104</v>
      </c>
    </row>
    <row r="93" spans="1:34" x14ac:dyDescent="0.3">
      <c r="A93" s="5" t="s">
        <v>105</v>
      </c>
    </row>
    <row r="94" spans="1:34" x14ac:dyDescent="0.3">
      <c r="A94" s="5" t="s">
        <v>106</v>
      </c>
    </row>
    <row r="95" spans="1:34" x14ac:dyDescent="0.3">
      <c r="A95" s="5" t="s">
        <v>107</v>
      </c>
    </row>
    <row r="96" spans="1:34" x14ac:dyDescent="0.3">
      <c r="A96" s="5" t="s">
        <v>108</v>
      </c>
    </row>
    <row r="97" spans="1:34" x14ac:dyDescent="0.3">
      <c r="A97" s="5" t="s">
        <v>109</v>
      </c>
    </row>
    <row r="98" spans="1:34" x14ac:dyDescent="0.3">
      <c r="A98" s="5" t="s">
        <v>110</v>
      </c>
    </row>
    <row r="99" spans="1:34" x14ac:dyDescent="0.3">
      <c r="A99" s="5" t="s">
        <v>111</v>
      </c>
    </row>
    <row r="100" spans="1:34" x14ac:dyDescent="0.3">
      <c r="A100" s="5" t="s">
        <v>112</v>
      </c>
    </row>
    <row r="101" spans="1:34" x14ac:dyDescent="0.3">
      <c r="A101" s="5" t="s">
        <v>113</v>
      </c>
    </row>
    <row r="102" spans="1:34" x14ac:dyDescent="0.3">
      <c r="A102" s="5" t="s">
        <v>114</v>
      </c>
    </row>
    <row r="103" spans="1:34" x14ac:dyDescent="0.3">
      <c r="A103" s="5" t="s">
        <v>115</v>
      </c>
    </row>
    <row r="104" spans="1:34" x14ac:dyDescent="0.3">
      <c r="A104" s="81" t="s">
        <v>11</v>
      </c>
      <c r="B104" s="81"/>
      <c r="C104" s="81"/>
      <c r="D104" s="81"/>
      <c r="E104" s="81"/>
      <c r="F104" s="81"/>
      <c r="G104" s="81"/>
      <c r="H104" s="81"/>
      <c r="I104" s="81"/>
      <c r="J104" s="81"/>
      <c r="K104" s="81"/>
      <c r="L104" s="81"/>
      <c r="M104" s="81"/>
      <c r="N104" s="81"/>
      <c r="O104" s="81"/>
      <c r="P104" s="81"/>
      <c r="Q104" s="81"/>
      <c r="R104" s="81"/>
      <c r="S104" s="81"/>
      <c r="T104" s="81"/>
      <c r="U104" s="81"/>
      <c r="V104" s="81"/>
      <c r="W104" s="81"/>
      <c r="X104" s="81"/>
      <c r="Y104" s="81"/>
      <c r="Z104" s="81"/>
      <c r="AA104" s="81"/>
      <c r="AB104" s="81"/>
      <c r="AC104" s="81"/>
      <c r="AD104" s="81"/>
      <c r="AE104" s="81"/>
      <c r="AF104" s="81"/>
      <c r="AG104" s="81"/>
      <c r="AH104" s="81"/>
    </row>
    <row r="105" spans="1:34" x14ac:dyDescent="0.3">
      <c r="A105" s="5" t="s">
        <v>116</v>
      </c>
    </row>
    <row r="106" spans="1:34" x14ac:dyDescent="0.3">
      <c r="A106" s="5" t="s">
        <v>117</v>
      </c>
    </row>
    <row r="107" spans="1:34" x14ac:dyDescent="0.3">
      <c r="A107" s="5" t="s">
        <v>121</v>
      </c>
    </row>
    <row r="108" spans="1:34" x14ac:dyDescent="0.3">
      <c r="A108" s="5" t="s">
        <v>122</v>
      </c>
    </row>
    <row r="109" spans="1:34" x14ac:dyDescent="0.3">
      <c r="A109" s="5" t="s">
        <v>120</v>
      </c>
    </row>
    <row r="110" spans="1:34" x14ac:dyDescent="0.3">
      <c r="A110" s="5" t="s">
        <v>119</v>
      </c>
    </row>
    <row r="111" spans="1:34" x14ac:dyDescent="0.3">
      <c r="A111" s="5" t="s">
        <v>118</v>
      </c>
    </row>
    <row r="112" spans="1:34" x14ac:dyDescent="0.3">
      <c r="A112" s="81" t="s">
        <v>12</v>
      </c>
      <c r="B112" s="81"/>
      <c r="C112" s="81"/>
      <c r="D112" s="81"/>
      <c r="E112" s="81"/>
      <c r="F112" s="81"/>
      <c r="G112" s="81"/>
      <c r="H112" s="81"/>
      <c r="I112" s="81"/>
      <c r="J112" s="81"/>
      <c r="K112" s="81"/>
      <c r="L112" s="81"/>
      <c r="M112" s="81"/>
      <c r="N112" s="81"/>
      <c r="O112" s="81"/>
      <c r="P112" s="81"/>
      <c r="Q112" s="81"/>
      <c r="R112" s="81"/>
      <c r="S112" s="81"/>
      <c r="T112" s="81"/>
      <c r="U112" s="81"/>
      <c r="V112" s="81"/>
      <c r="W112" s="81"/>
      <c r="X112" s="81"/>
      <c r="Y112" s="81"/>
      <c r="Z112" s="81"/>
      <c r="AA112" s="81"/>
      <c r="AB112" s="81"/>
      <c r="AC112" s="81"/>
      <c r="AD112" s="81"/>
      <c r="AE112" s="81"/>
      <c r="AF112" s="81"/>
      <c r="AG112" s="81"/>
      <c r="AH112" s="81"/>
    </row>
    <row r="113" spans="1:34" x14ac:dyDescent="0.3">
      <c r="A113" s="5" t="s">
        <v>123</v>
      </c>
    </row>
    <row r="114" spans="1:34" x14ac:dyDescent="0.3">
      <c r="A114" s="5" t="s">
        <v>124</v>
      </c>
    </row>
    <row r="115" spans="1:34" x14ac:dyDescent="0.3">
      <c r="A115" s="81" t="s">
        <v>13</v>
      </c>
      <c r="B115" s="81"/>
      <c r="C115" s="81"/>
      <c r="D115" s="81"/>
      <c r="E115" s="81"/>
      <c r="F115" s="81"/>
      <c r="G115" s="81"/>
      <c r="H115" s="81"/>
      <c r="I115" s="81"/>
      <c r="J115" s="81"/>
      <c r="K115" s="81"/>
      <c r="L115" s="81"/>
      <c r="M115" s="81"/>
      <c r="N115" s="81"/>
      <c r="O115" s="81"/>
      <c r="P115" s="81"/>
      <c r="Q115" s="81"/>
      <c r="R115" s="81"/>
      <c r="S115" s="81"/>
      <c r="T115" s="81"/>
      <c r="U115" s="81"/>
      <c r="V115" s="81"/>
      <c r="W115" s="81"/>
      <c r="X115" s="81"/>
      <c r="Y115" s="81"/>
      <c r="Z115" s="81"/>
      <c r="AA115" s="81"/>
      <c r="AB115" s="81"/>
      <c r="AC115" s="81"/>
      <c r="AD115" s="81"/>
      <c r="AE115" s="81"/>
      <c r="AF115" s="81"/>
      <c r="AG115" s="81"/>
      <c r="AH115" s="81"/>
    </row>
    <row r="116" spans="1:34" x14ac:dyDescent="0.3">
      <c r="A116" s="5" t="s">
        <v>125</v>
      </c>
    </row>
    <row r="117" spans="1:34" x14ac:dyDescent="0.3">
      <c r="A117" s="5" t="s">
        <v>126</v>
      </c>
    </row>
    <row r="118" spans="1:34" x14ac:dyDescent="0.3">
      <c r="A118" s="5" t="s">
        <v>127</v>
      </c>
    </row>
    <row r="119" spans="1:34" x14ac:dyDescent="0.3">
      <c r="A119" s="5" t="s">
        <v>128</v>
      </c>
    </row>
    <row r="120" spans="1:34" x14ac:dyDescent="0.3">
      <c r="A120" s="5" t="s">
        <v>129</v>
      </c>
    </row>
    <row r="121" spans="1:34" x14ac:dyDescent="0.3">
      <c r="A121" s="81" t="s">
        <v>14</v>
      </c>
      <c r="B121" s="81"/>
      <c r="C121" s="81"/>
      <c r="D121" s="81"/>
      <c r="E121" s="81"/>
      <c r="F121" s="81"/>
      <c r="G121" s="81"/>
      <c r="H121" s="81"/>
      <c r="I121" s="81"/>
      <c r="J121" s="81"/>
      <c r="K121" s="81"/>
      <c r="L121" s="81"/>
      <c r="M121" s="81"/>
      <c r="N121" s="81"/>
      <c r="O121" s="81"/>
      <c r="P121" s="81"/>
      <c r="Q121" s="81"/>
      <c r="R121" s="81"/>
      <c r="S121" s="81"/>
      <c r="T121" s="81"/>
      <c r="U121" s="81"/>
      <c r="V121" s="81"/>
      <c r="W121" s="81"/>
      <c r="X121" s="81"/>
      <c r="Y121" s="81"/>
      <c r="Z121" s="81"/>
      <c r="AA121" s="81"/>
      <c r="AB121" s="81"/>
      <c r="AC121" s="81"/>
      <c r="AD121" s="81"/>
      <c r="AE121" s="81"/>
      <c r="AF121" s="81"/>
      <c r="AG121" s="81"/>
      <c r="AH121" s="81"/>
    </row>
    <row r="122" spans="1:34" x14ac:dyDescent="0.3">
      <c r="A122" s="5" t="s">
        <v>130</v>
      </c>
    </row>
    <row r="123" spans="1:34" x14ac:dyDescent="0.3">
      <c r="A123" s="5" t="s">
        <v>131</v>
      </c>
    </row>
    <row r="124" spans="1:34" x14ac:dyDescent="0.3">
      <c r="A124" s="5" t="s">
        <v>132</v>
      </c>
    </row>
    <row r="125" spans="1:34" x14ac:dyDescent="0.3">
      <c r="A125" s="5" t="s">
        <v>133</v>
      </c>
    </row>
    <row r="126" spans="1:34" x14ac:dyDescent="0.3">
      <c r="A126" s="5" t="s">
        <v>134</v>
      </c>
    </row>
    <row r="127" spans="1:34" x14ac:dyDescent="0.3">
      <c r="A127" s="5" t="s">
        <v>135</v>
      </c>
    </row>
    <row r="128" spans="1:34" x14ac:dyDescent="0.3">
      <c r="A128" s="5" t="s">
        <v>136</v>
      </c>
    </row>
    <row r="129" spans="1:38" x14ac:dyDescent="0.3">
      <c r="A129" s="5" t="s">
        <v>137</v>
      </c>
    </row>
    <row r="130" spans="1:38" x14ac:dyDescent="0.3">
      <c r="A130" s="5" t="s">
        <v>138</v>
      </c>
    </row>
    <row r="131" spans="1:38" x14ac:dyDescent="0.3">
      <c r="A131" s="5" t="s">
        <v>139</v>
      </c>
    </row>
    <row r="132" spans="1:38" x14ac:dyDescent="0.3">
      <c r="A132" s="81" t="s">
        <v>15</v>
      </c>
      <c r="B132" s="81"/>
      <c r="C132" s="81"/>
      <c r="D132" s="81"/>
      <c r="E132" s="81"/>
      <c r="F132" s="81"/>
      <c r="G132" s="81"/>
      <c r="H132" s="81"/>
      <c r="I132" s="81"/>
      <c r="J132" s="81"/>
      <c r="K132" s="81"/>
      <c r="L132" s="81"/>
      <c r="M132" s="81"/>
      <c r="N132" s="81"/>
      <c r="O132" s="81"/>
      <c r="P132" s="81"/>
      <c r="Q132" s="81"/>
      <c r="R132" s="81"/>
      <c r="S132" s="81"/>
      <c r="T132" s="81"/>
      <c r="U132" s="81"/>
      <c r="V132" s="81"/>
      <c r="W132" s="81"/>
      <c r="X132" s="81"/>
      <c r="Y132" s="81"/>
      <c r="Z132" s="81"/>
      <c r="AA132" s="81"/>
      <c r="AB132" s="81"/>
      <c r="AC132" s="81"/>
      <c r="AD132" s="81"/>
      <c r="AE132" s="81"/>
      <c r="AF132" s="81"/>
      <c r="AG132" s="81"/>
      <c r="AH132" s="81"/>
    </row>
    <row r="133" spans="1:38" x14ac:dyDescent="0.3">
      <c r="A133" s="82" t="str">
        <f>Лист1!A95</f>
        <v>8.1. Гр. Фамилия Имя Отчество дд.мм.гггг г.р., паспорт серии 0000, номер 000000, дата выдачи дд.мм.гггг г., Код подразделения: 000-000, выдан: Полностью как в паспорте, адрес регистрации: Область, город, улица, дом, корпус, квартира</v>
      </c>
      <c r="B133" s="82"/>
      <c r="C133" s="82"/>
      <c r="D133" s="82"/>
      <c r="E133" s="82"/>
      <c r="F133" s="82"/>
      <c r="G133" s="82"/>
      <c r="H133" s="82"/>
      <c r="I133" s="82"/>
      <c r="J133" s="82"/>
      <c r="K133" s="82"/>
      <c r="L133" s="82"/>
      <c r="M133" s="82"/>
      <c r="N133" s="82"/>
      <c r="O133" s="82"/>
      <c r="P133" s="82"/>
      <c r="Q133" s="82"/>
      <c r="R133" s="82"/>
      <c r="S133" s="82"/>
      <c r="T133" s="82"/>
      <c r="U133" s="82"/>
      <c r="V133" s="82"/>
      <c r="W133" s="82"/>
      <c r="X133" s="82"/>
      <c r="Y133" s="82"/>
      <c r="Z133" s="82"/>
      <c r="AA133" s="82"/>
      <c r="AB133" s="82"/>
      <c r="AC133" s="82"/>
      <c r="AD133" s="82"/>
      <c r="AE133" s="82"/>
      <c r="AF133" s="82"/>
      <c r="AG133" s="82"/>
      <c r="AH133" s="82"/>
      <c r="AI133" s="82"/>
    </row>
    <row r="134" spans="1:38" x14ac:dyDescent="0.3">
      <c r="A134" s="82"/>
      <c r="B134" s="82"/>
      <c r="C134" s="82"/>
      <c r="D134" s="82"/>
      <c r="E134" s="82"/>
      <c r="F134" s="82"/>
      <c r="G134" s="82"/>
      <c r="H134" s="82"/>
      <c r="I134" s="82"/>
      <c r="J134" s="82"/>
      <c r="K134" s="82"/>
      <c r="L134" s="82"/>
      <c r="M134" s="82"/>
      <c r="N134" s="82"/>
      <c r="O134" s="82"/>
      <c r="P134" s="82"/>
      <c r="Q134" s="82"/>
      <c r="R134" s="82"/>
      <c r="S134" s="82"/>
      <c r="T134" s="82"/>
      <c r="U134" s="82"/>
      <c r="V134" s="82"/>
      <c r="W134" s="82"/>
      <c r="X134" s="82"/>
      <c r="Y134" s="82"/>
      <c r="Z134" s="82"/>
      <c r="AA134" s="82"/>
      <c r="AB134" s="82"/>
      <c r="AC134" s="82"/>
      <c r="AD134" s="82"/>
      <c r="AE134" s="82"/>
      <c r="AF134" s="82"/>
      <c r="AG134" s="82"/>
      <c r="AH134" s="82"/>
      <c r="AI134" s="82"/>
    </row>
    <row r="135" spans="1:38" x14ac:dyDescent="0.3">
      <c r="A135" s="82"/>
      <c r="B135" s="82"/>
      <c r="C135" s="82"/>
      <c r="D135" s="82"/>
      <c r="E135" s="82"/>
      <c r="F135" s="82"/>
      <c r="G135" s="82"/>
      <c r="H135" s="82"/>
      <c r="I135" s="82"/>
      <c r="J135" s="82"/>
      <c r="K135" s="82"/>
      <c r="L135" s="82"/>
      <c r="M135" s="82"/>
      <c r="N135" s="82"/>
      <c r="O135" s="82"/>
      <c r="P135" s="82"/>
      <c r="Q135" s="82"/>
      <c r="R135" s="82"/>
      <c r="S135" s="82"/>
      <c r="T135" s="82"/>
      <c r="U135" s="82"/>
      <c r="V135" s="82"/>
      <c r="W135" s="82"/>
      <c r="X135" s="82"/>
      <c r="Y135" s="82"/>
      <c r="Z135" s="82"/>
      <c r="AA135" s="82"/>
      <c r="AB135" s="82"/>
      <c r="AC135" s="82"/>
      <c r="AD135" s="82"/>
      <c r="AE135" s="82"/>
      <c r="AF135" s="82"/>
      <c r="AG135" s="82"/>
      <c r="AH135" s="82"/>
      <c r="AI135" s="82"/>
    </row>
    <row r="136" spans="1:38" x14ac:dyDescent="0.3">
      <c r="A136" s="82"/>
      <c r="B136" s="82"/>
      <c r="C136" s="82"/>
      <c r="D136" s="82"/>
      <c r="E136" s="82"/>
      <c r="F136" s="82"/>
      <c r="G136" s="82"/>
      <c r="H136" s="82"/>
      <c r="I136" s="82"/>
      <c r="J136" s="82"/>
      <c r="K136" s="82"/>
      <c r="L136" s="82"/>
      <c r="M136" s="82"/>
      <c r="N136" s="82"/>
      <c r="O136" s="82"/>
      <c r="P136" s="82"/>
      <c r="Q136" s="82"/>
      <c r="R136" s="82"/>
      <c r="S136" s="82"/>
      <c r="T136" s="82"/>
      <c r="U136" s="82"/>
      <c r="V136" s="82"/>
      <c r="W136" s="82"/>
      <c r="X136" s="82"/>
      <c r="Y136" s="82"/>
      <c r="Z136" s="82"/>
      <c r="AA136" s="82"/>
      <c r="AB136" s="82"/>
      <c r="AC136" s="82"/>
      <c r="AD136" s="82"/>
      <c r="AE136" s="82"/>
      <c r="AF136" s="82"/>
      <c r="AG136" s="82"/>
      <c r="AH136" s="82"/>
      <c r="AI136" s="82"/>
    </row>
    <row r="137" spans="1:38" x14ac:dyDescent="0.3">
      <c r="AL137" s="43"/>
    </row>
    <row r="138" spans="1:38" x14ac:dyDescent="0.3">
      <c r="A138" s="2" t="str">
        <f>Лист1!A97</f>
        <v>8.2. Агент: ИП Антонов Д.Н.</v>
      </c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L138" s="43"/>
    </row>
    <row r="139" spans="1:38" x14ac:dyDescent="0.3">
      <c r="A139" s="2" t="str">
        <f>'Карточка ИП'!A21&amp;Лист1!A11&amp;'Карточка ИП'!B21</f>
        <v>ИНН 667327231596</v>
      </c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L139" s="43"/>
    </row>
    <row r="140" spans="1:38" x14ac:dyDescent="0.3">
      <c r="A140" s="2" t="str">
        <f>'Карточка ИП'!A16&amp;Лист1!A38&amp;'Карточка ИП'!B16</f>
        <v>Юридический адрес: 620098, г. Екатеринбург, ул. Ярославская, д. 33, кв. 2</v>
      </c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L140" s="43"/>
    </row>
    <row r="141" spans="1:38" x14ac:dyDescent="0.3">
      <c r="A141" s="2" t="str">
        <f>'Карточка ИП'!A17&amp;Лист1!A38&amp;'Карточка ИП'!B17</f>
        <v>Фактический адрес: 620109, г. Екатеринбург, ул. Металургов, д. 69</v>
      </c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L141" s="43"/>
    </row>
    <row r="142" spans="1:38" x14ac:dyDescent="0.3">
      <c r="A142" s="2" t="str">
        <f>'Карточка ИП'!A23&amp;Лист1!A38&amp;'Карточка ИП'!B23</f>
        <v>Р/С: 40802810902500077873</v>
      </c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L142" s="43"/>
    </row>
    <row r="143" spans="1:38" x14ac:dyDescent="0.3">
      <c r="A143" s="2" t="str">
        <f>'Карточка ИП'!B27</f>
        <v>ТОЧКА ПАО БАНКА "ФК ОТКРЫТИЕ" г. Москва</v>
      </c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</row>
    <row r="144" spans="1:38" x14ac:dyDescent="0.3">
      <c r="A144" s="2" t="str">
        <f>'Карточка ИП'!A24&amp;Лист1!A38&amp;'Карточка ИП'!B24</f>
        <v>К/С: 30101810845250000999</v>
      </c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</row>
    <row r="145" spans="1:34" ht="15.75" customHeight="1" x14ac:dyDescent="0.3">
      <c r="A145" s="2" t="str">
        <f>'Карточка ИП'!A25&amp;Лист1!A38&amp;'Карточка ИП'!B25</f>
        <v>БИК: 044525999</v>
      </c>
      <c r="B145" s="2"/>
      <c r="C145" s="2"/>
      <c r="D145" s="2"/>
      <c r="E145" s="2"/>
      <c r="F145" s="2"/>
      <c r="G145" s="2"/>
      <c r="H145" s="2" t="str">
        <f>'Карточка ИП'!A20&amp;Лист1!A38&amp;'Карточка ИП'!B20</f>
        <v>ОГРНИП: 319665800247983</v>
      </c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</row>
    <row r="146" spans="1:34" x14ac:dyDescent="0.3">
      <c r="A146" s="2" t="str">
        <f>'Карточка ИП'!A18&amp;Лист1!A38&amp;'Карточка ИП'!B18</f>
        <v>Телефон: +7 (343) 385 60 38</v>
      </c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</row>
    <row r="148" spans="1:34" x14ac:dyDescent="0.3">
      <c r="A148" s="81" t="s">
        <v>16</v>
      </c>
      <c r="B148" s="81"/>
      <c r="C148" s="81"/>
      <c r="D148" s="81"/>
      <c r="E148" s="81"/>
      <c r="F148" s="81"/>
      <c r="G148" s="81"/>
      <c r="H148" s="81"/>
      <c r="I148" s="81"/>
      <c r="J148" s="81"/>
      <c r="K148" s="81"/>
      <c r="L148" s="81"/>
      <c r="M148" s="81"/>
      <c r="N148" s="81"/>
      <c r="O148" s="81"/>
      <c r="P148" s="81"/>
      <c r="Q148" s="81"/>
      <c r="R148" s="81"/>
      <c r="S148" s="81"/>
      <c r="T148" s="81"/>
      <c r="U148" s="81"/>
      <c r="V148" s="81"/>
      <c r="W148" s="81"/>
      <c r="X148" s="81"/>
      <c r="Y148" s="81"/>
      <c r="Z148" s="81"/>
      <c r="AA148" s="81"/>
      <c r="AB148" s="81"/>
      <c r="AC148" s="81"/>
      <c r="AD148" s="81"/>
      <c r="AE148" s="81"/>
      <c r="AF148" s="81"/>
      <c r="AG148" s="81"/>
      <c r="AH148" s="81"/>
    </row>
    <row r="150" spans="1:34" x14ac:dyDescent="0.3">
      <c r="B150" s="5" t="s">
        <v>140</v>
      </c>
      <c r="T150" s="5" t="s">
        <v>143</v>
      </c>
    </row>
    <row r="152" spans="1:34" ht="15.6" x14ac:dyDescent="0.3">
      <c r="A152" s="1" t="s">
        <v>141</v>
      </c>
      <c r="I152" s="5" t="str">
        <f>Лист1!A40&amp;'Данные Клиента Продавца и Авто'!B6&amp;Лист1!A40</f>
        <v>/Фамилия И.О./</v>
      </c>
      <c r="J152" s="2"/>
      <c r="T152" s="54" t="s">
        <v>325</v>
      </c>
      <c r="AA152" s="5" t="str">
        <f>Лист1!A40&amp;'Карточка ИП'!B15&amp;Лист1!A40</f>
        <v>/Антонов Д.Н./</v>
      </c>
    </row>
    <row r="153" spans="1:34" x14ac:dyDescent="0.3">
      <c r="T153" s="5" t="s">
        <v>144</v>
      </c>
    </row>
  </sheetData>
  <mergeCells count="32">
    <mergeCell ref="Q34:AH34"/>
    <mergeCell ref="Q33:AH33"/>
    <mergeCell ref="A71:AI72"/>
    <mergeCell ref="T1:U1"/>
    <mergeCell ref="AC2:AH2"/>
    <mergeCell ref="A3:AI9"/>
    <mergeCell ref="A28:P28"/>
    <mergeCell ref="A29:P29"/>
    <mergeCell ref="A10:AH10"/>
    <mergeCell ref="Q29:AH29"/>
    <mergeCell ref="Q28:AH28"/>
    <mergeCell ref="A104:AH104"/>
    <mergeCell ref="A112:AH112"/>
    <mergeCell ref="A30:P30"/>
    <mergeCell ref="A31:P31"/>
    <mergeCell ref="A32:P32"/>
    <mergeCell ref="A33:P33"/>
    <mergeCell ref="A34:P34"/>
    <mergeCell ref="A35:P35"/>
    <mergeCell ref="A60:AH60"/>
    <mergeCell ref="A89:AH89"/>
    <mergeCell ref="Q32:AH32"/>
    <mergeCell ref="Q31:AH31"/>
    <mergeCell ref="Q30:AH30"/>
    <mergeCell ref="A36:P37"/>
    <mergeCell ref="Q36:AH37"/>
    <mergeCell ref="Q35:AH35"/>
    <mergeCell ref="A148:AH148"/>
    <mergeCell ref="A115:AH115"/>
    <mergeCell ref="A121:AH121"/>
    <mergeCell ref="A132:AH132"/>
    <mergeCell ref="A133:AI136"/>
  </mergeCells>
  <pageMargins left="0.19685039370078741" right="0.19685039370078741" top="0.39370078740157483" bottom="0.51181102362204722" header="0.31496062992125984" footer="0.31496062992125984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3">
    <tabColor rgb="FF92D050"/>
  </sheetPr>
  <dimension ref="A1:AL171"/>
  <sheetViews>
    <sheetView view="pageLayout" zoomScaleNormal="100" workbookViewId="0"/>
  </sheetViews>
  <sheetFormatPr defaultColWidth="2.77734375" defaultRowHeight="14.4" x14ac:dyDescent="0.3"/>
  <cols>
    <col min="1" max="1" width="2.77734375" style="5"/>
    <col min="2" max="2" width="2.6640625" style="5" customWidth="1"/>
    <col min="3" max="16" width="2.77734375" style="5"/>
    <col min="17" max="17" width="2.6640625" style="5" customWidth="1"/>
    <col min="18" max="26" width="2.77734375" style="5"/>
    <col min="27" max="27" width="2.6640625" style="5" customWidth="1"/>
    <col min="28" max="33" width="2.77734375" style="5"/>
    <col min="34" max="34" width="3.21875" style="5" customWidth="1"/>
    <col min="35" max="16384" width="2.77734375" style="5"/>
  </cols>
  <sheetData>
    <row r="1" spans="1:35" s="6" customFormat="1" ht="15.6" x14ac:dyDescent="0.3">
      <c r="L1" s="6" t="s">
        <v>29</v>
      </c>
      <c r="T1" s="87" t="str">
        <f>'Данные Клиента Продавца и Авто'!B3</f>
        <v>0810</v>
      </c>
      <c r="U1" s="87"/>
    </row>
    <row r="2" spans="1:35" x14ac:dyDescent="0.3">
      <c r="A2" s="5" t="str">
        <f>Лист1!A16&amp;Лист1!A48&amp;'Данные Клиента Продавца и Авто'!B2</f>
        <v>г. Екатеринбург</v>
      </c>
      <c r="P2" s="7"/>
      <c r="AC2" s="88" t="str">
        <f>'Данные Клиента Продавца и Авто'!B4&amp;Лист1!A48&amp;Лист1!A16</f>
        <v>19.09.2022 г.</v>
      </c>
      <c r="AD2" s="89"/>
      <c r="AE2" s="89"/>
      <c r="AF2" s="89"/>
      <c r="AG2" s="89"/>
      <c r="AH2" s="89"/>
    </row>
    <row r="3" spans="1:35" ht="15" customHeight="1" x14ac:dyDescent="0.3">
      <c r="A3" s="86" t="str">
        <f>Лист1!A87</f>
        <v xml:space="preserve">Гр. Фамилия Имя Отчество дд.мм.гггг г.р., паспорт серии 0000, номер 000000, дата выдачи дд.мм.гггг г., Код подразделения: 000-000, выдан: Полностью как в паспорте, адрес регистрации: Область, город, улица, дом, корпус, квартира, именуемый (-ая) в дальнейшем «Принципал», с одной стороны, и Индивидуальный предприниматель Антонов Денис Николаевич, именуемый в дальнейшем «Агент», с другой стороны, все вместе именуемые Стороны, заключили настоящий договор о нижеследующем: </v>
      </c>
      <c r="B3" s="86"/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86"/>
      <c r="S3" s="86"/>
      <c r="T3" s="86"/>
      <c r="U3" s="86"/>
      <c r="V3" s="86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</row>
    <row r="4" spans="1:35" x14ac:dyDescent="0.3">
      <c r="A4" s="86"/>
      <c r="B4" s="86"/>
      <c r="C4" s="86"/>
      <c r="D4" s="86"/>
      <c r="E4" s="86"/>
      <c r="F4" s="86"/>
      <c r="G4" s="86"/>
      <c r="H4" s="86"/>
      <c r="I4" s="86"/>
      <c r="J4" s="86"/>
      <c r="K4" s="86"/>
      <c r="L4" s="86"/>
      <c r="M4" s="86"/>
      <c r="N4" s="86"/>
      <c r="O4" s="86"/>
      <c r="P4" s="86"/>
      <c r="Q4" s="86"/>
      <c r="R4" s="86"/>
      <c r="S4" s="86"/>
      <c r="T4" s="86"/>
      <c r="U4" s="86"/>
      <c r="V4" s="86"/>
      <c r="W4" s="86"/>
      <c r="X4" s="86"/>
      <c r="Y4" s="86"/>
      <c r="Z4" s="86"/>
      <c r="AA4" s="86"/>
      <c r="AB4" s="86"/>
      <c r="AC4" s="86"/>
      <c r="AD4" s="86"/>
      <c r="AE4" s="86"/>
      <c r="AF4" s="86"/>
      <c r="AG4" s="86"/>
      <c r="AH4" s="86"/>
      <c r="AI4" s="86"/>
    </row>
    <row r="5" spans="1:35" ht="15" customHeight="1" x14ac:dyDescent="0.3">
      <c r="A5" s="86"/>
      <c r="B5" s="86"/>
      <c r="C5" s="86"/>
      <c r="D5" s="86"/>
      <c r="E5" s="86"/>
      <c r="F5" s="86"/>
      <c r="G5" s="86"/>
      <c r="H5" s="86"/>
      <c r="I5" s="86"/>
      <c r="J5" s="86"/>
      <c r="K5" s="86"/>
      <c r="L5" s="86"/>
      <c r="M5" s="86"/>
      <c r="N5" s="86"/>
      <c r="O5" s="86"/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</row>
    <row r="6" spans="1:35" x14ac:dyDescent="0.3">
      <c r="A6" s="86"/>
      <c r="B6" s="86"/>
      <c r="C6" s="86"/>
      <c r="D6" s="86"/>
      <c r="E6" s="86"/>
      <c r="F6" s="86"/>
      <c r="G6" s="86"/>
      <c r="H6" s="86"/>
      <c r="I6" s="86"/>
      <c r="J6" s="86"/>
      <c r="K6" s="86"/>
      <c r="L6" s="86"/>
      <c r="M6" s="86"/>
      <c r="N6" s="86"/>
      <c r="O6" s="86"/>
      <c r="P6" s="86"/>
      <c r="Q6" s="86"/>
      <c r="R6" s="86"/>
      <c r="S6" s="86"/>
      <c r="T6" s="86"/>
      <c r="U6" s="86"/>
      <c r="V6" s="86"/>
      <c r="W6" s="86"/>
      <c r="X6" s="86"/>
      <c r="Y6" s="86"/>
      <c r="Z6" s="86"/>
      <c r="AA6" s="86"/>
      <c r="AB6" s="86"/>
      <c r="AC6" s="86"/>
      <c r="AD6" s="86"/>
      <c r="AE6" s="86"/>
      <c r="AF6" s="86"/>
      <c r="AG6" s="86"/>
      <c r="AH6" s="86"/>
      <c r="AI6" s="86"/>
    </row>
    <row r="7" spans="1:35" x14ac:dyDescent="0.3">
      <c r="A7" s="86"/>
      <c r="B7" s="86"/>
      <c r="C7" s="86"/>
      <c r="D7" s="86"/>
      <c r="E7" s="86"/>
      <c r="F7" s="86"/>
      <c r="G7" s="86"/>
      <c r="H7" s="86"/>
      <c r="I7" s="86"/>
      <c r="J7" s="86"/>
      <c r="K7" s="86"/>
      <c r="L7" s="86"/>
      <c r="M7" s="86"/>
      <c r="N7" s="86"/>
      <c r="O7" s="86"/>
      <c r="P7" s="86"/>
      <c r="Q7" s="86"/>
      <c r="R7" s="86"/>
      <c r="S7" s="86"/>
      <c r="T7" s="86"/>
      <c r="U7" s="86"/>
      <c r="V7" s="86"/>
      <c r="W7" s="86"/>
      <c r="X7" s="86"/>
      <c r="Y7" s="86"/>
      <c r="Z7" s="86"/>
      <c r="AA7" s="86"/>
      <c r="AB7" s="86"/>
      <c r="AC7" s="86"/>
      <c r="AD7" s="86"/>
      <c r="AE7" s="86"/>
      <c r="AF7" s="86"/>
      <c r="AG7" s="86"/>
      <c r="AH7" s="86"/>
      <c r="AI7" s="86"/>
    </row>
    <row r="8" spans="1:35" x14ac:dyDescent="0.3">
      <c r="A8" s="86"/>
      <c r="B8" s="86"/>
      <c r="C8" s="86"/>
      <c r="D8" s="86"/>
      <c r="E8" s="86"/>
      <c r="F8" s="86"/>
      <c r="G8" s="86"/>
      <c r="H8" s="86"/>
      <c r="I8" s="86"/>
      <c r="J8" s="86"/>
      <c r="K8" s="86"/>
      <c r="L8" s="86"/>
      <c r="M8" s="86"/>
      <c r="N8" s="86"/>
      <c r="O8" s="86"/>
      <c r="P8" s="86"/>
      <c r="Q8" s="86"/>
      <c r="R8" s="86"/>
      <c r="S8" s="86"/>
      <c r="T8" s="86"/>
      <c r="U8" s="86"/>
      <c r="V8" s="86"/>
      <c r="W8" s="86"/>
      <c r="X8" s="86"/>
      <c r="Y8" s="86"/>
      <c r="Z8" s="86"/>
      <c r="AA8" s="86"/>
      <c r="AB8" s="86"/>
      <c r="AC8" s="86"/>
      <c r="AD8" s="86"/>
      <c r="AE8" s="86"/>
      <c r="AF8" s="86"/>
      <c r="AG8" s="86"/>
      <c r="AH8" s="86"/>
      <c r="AI8" s="86"/>
    </row>
    <row r="9" spans="1:35" x14ac:dyDescent="0.3">
      <c r="A9" s="86"/>
      <c r="B9" s="86"/>
      <c r="C9" s="86"/>
      <c r="D9" s="86"/>
      <c r="E9" s="86"/>
      <c r="F9" s="86"/>
      <c r="G9" s="86"/>
      <c r="H9" s="86"/>
      <c r="I9" s="86"/>
      <c r="J9" s="86"/>
      <c r="K9" s="86"/>
      <c r="L9" s="86"/>
      <c r="M9" s="86"/>
      <c r="N9" s="86"/>
      <c r="O9" s="86"/>
      <c r="P9" s="86"/>
      <c r="Q9" s="86"/>
      <c r="R9" s="86"/>
      <c r="S9" s="86"/>
      <c r="T9" s="86"/>
      <c r="U9" s="86"/>
      <c r="V9" s="86"/>
      <c r="W9" s="86"/>
      <c r="X9" s="86"/>
      <c r="Y9" s="86"/>
      <c r="Z9" s="86"/>
      <c r="AA9" s="86"/>
      <c r="AB9" s="86"/>
      <c r="AC9" s="86"/>
      <c r="AD9" s="86"/>
      <c r="AE9" s="86"/>
      <c r="AF9" s="86"/>
      <c r="AG9" s="86"/>
      <c r="AH9" s="86"/>
      <c r="AI9" s="86"/>
    </row>
    <row r="10" spans="1:35" x14ac:dyDescent="0.3">
      <c r="A10" s="81" t="s">
        <v>0</v>
      </c>
      <c r="B10" s="81"/>
      <c r="C10" s="81"/>
      <c r="D10" s="81"/>
      <c r="E10" s="81"/>
      <c r="F10" s="81"/>
      <c r="G10" s="81"/>
      <c r="H10" s="81"/>
      <c r="I10" s="81"/>
      <c r="J10" s="81"/>
      <c r="K10" s="81"/>
      <c r="L10" s="81"/>
      <c r="M10" s="81"/>
      <c r="N10" s="81"/>
      <c r="O10" s="81"/>
      <c r="P10" s="81"/>
      <c r="Q10" s="81"/>
      <c r="R10" s="81"/>
      <c r="S10" s="81"/>
      <c r="T10" s="81"/>
      <c r="U10" s="81"/>
      <c r="V10" s="81"/>
      <c r="W10" s="81"/>
      <c r="X10" s="81"/>
      <c r="Y10" s="81"/>
      <c r="Z10" s="81"/>
      <c r="AA10" s="81"/>
      <c r="AB10" s="81"/>
      <c r="AC10" s="81"/>
      <c r="AD10" s="81"/>
      <c r="AE10" s="81"/>
      <c r="AF10" s="81"/>
      <c r="AG10" s="81"/>
      <c r="AH10" s="81"/>
    </row>
    <row r="11" spans="1:35" x14ac:dyDescent="0.3">
      <c r="A11" s="5" t="s">
        <v>49</v>
      </c>
    </row>
    <row r="12" spans="1:35" x14ac:dyDescent="0.3">
      <c r="A12" s="5" t="s">
        <v>48</v>
      </c>
    </row>
    <row r="13" spans="1:35" x14ac:dyDescent="0.3">
      <c r="A13" s="5" t="s">
        <v>30</v>
      </c>
    </row>
    <row r="14" spans="1:35" x14ac:dyDescent="0.3">
      <c r="A14" s="5" t="s">
        <v>51</v>
      </c>
    </row>
    <row r="15" spans="1:35" x14ac:dyDescent="0.3">
      <c r="A15" s="5" t="s">
        <v>50</v>
      </c>
    </row>
    <row r="16" spans="1:35" x14ac:dyDescent="0.3">
      <c r="A16" s="5" t="s">
        <v>52</v>
      </c>
    </row>
    <row r="17" spans="1:34" x14ac:dyDescent="0.3">
      <c r="A17" s="5" t="s">
        <v>54</v>
      </c>
    </row>
    <row r="18" spans="1:34" x14ac:dyDescent="0.3">
      <c r="A18" s="5" t="s">
        <v>53</v>
      </c>
    </row>
    <row r="19" spans="1:34" x14ac:dyDescent="0.3">
      <c r="A19" s="73" t="s">
        <v>1</v>
      </c>
    </row>
    <row r="20" spans="1:34" x14ac:dyDescent="0.3">
      <c r="A20" s="5" t="s">
        <v>55</v>
      </c>
    </row>
    <row r="21" spans="1:34" x14ac:dyDescent="0.3">
      <c r="A21" s="5" t="s">
        <v>56</v>
      </c>
    </row>
    <row r="22" spans="1:34" x14ac:dyDescent="0.3">
      <c r="A22" s="5" t="s">
        <v>57</v>
      </c>
    </row>
    <row r="23" spans="1:34" x14ac:dyDescent="0.3">
      <c r="A23" s="5" t="s">
        <v>58</v>
      </c>
    </row>
    <row r="24" spans="1:34" x14ac:dyDescent="0.3">
      <c r="A24" s="5" t="s">
        <v>59</v>
      </c>
    </row>
    <row r="25" spans="1:34" x14ac:dyDescent="0.3">
      <c r="A25" s="48" t="s">
        <v>269</v>
      </c>
    </row>
    <row r="27" spans="1:34" x14ac:dyDescent="0.3">
      <c r="A27" s="5" t="s">
        <v>31</v>
      </c>
    </row>
    <row r="28" spans="1:34" x14ac:dyDescent="0.3">
      <c r="A28" s="83" t="s">
        <v>32</v>
      </c>
      <c r="B28" s="83"/>
      <c r="C28" s="83"/>
      <c r="D28" s="83"/>
      <c r="E28" s="83"/>
      <c r="F28" s="83"/>
      <c r="G28" s="83"/>
      <c r="H28" s="83"/>
      <c r="I28" s="83"/>
      <c r="J28" s="83"/>
      <c r="K28" s="83"/>
      <c r="L28" s="83"/>
      <c r="M28" s="83"/>
      <c r="N28" s="83"/>
      <c r="O28" s="83"/>
      <c r="P28" s="83"/>
      <c r="Q28" s="84" t="str">
        <f>'Данные Клиента Продавца и Авто'!B19</f>
        <v>VIN</v>
      </c>
      <c r="R28" s="84"/>
      <c r="S28" s="84"/>
      <c r="T28" s="84"/>
      <c r="U28" s="84"/>
      <c r="V28" s="84"/>
      <c r="W28" s="84"/>
      <c r="X28" s="84"/>
      <c r="Y28" s="84"/>
      <c r="Z28" s="84"/>
      <c r="AA28" s="84"/>
      <c r="AB28" s="84"/>
      <c r="AC28" s="84"/>
      <c r="AD28" s="84"/>
      <c r="AE28" s="84"/>
      <c r="AF28" s="84"/>
      <c r="AG28" s="84"/>
      <c r="AH28" s="84"/>
    </row>
    <row r="29" spans="1:34" x14ac:dyDescent="0.3">
      <c r="A29" s="83" t="s">
        <v>33</v>
      </c>
      <c r="B29" s="83"/>
      <c r="C29" s="83"/>
      <c r="D29" s="83"/>
      <c r="E29" s="83"/>
      <c r="F29" s="83"/>
      <c r="G29" s="83"/>
      <c r="H29" s="83"/>
      <c r="I29" s="83"/>
      <c r="J29" s="83"/>
      <c r="K29" s="83"/>
      <c r="L29" s="83"/>
      <c r="M29" s="83"/>
      <c r="N29" s="83"/>
      <c r="O29" s="83"/>
      <c r="P29" s="83"/>
      <c r="Q29" s="84" t="str">
        <f>'Данные Клиента Продавца и Авто'!B20</f>
        <v>Марка, модель</v>
      </c>
      <c r="R29" s="84"/>
      <c r="S29" s="84"/>
      <c r="T29" s="84"/>
      <c r="U29" s="84"/>
      <c r="V29" s="84"/>
      <c r="W29" s="84"/>
      <c r="X29" s="84"/>
      <c r="Y29" s="84"/>
      <c r="Z29" s="84"/>
      <c r="AA29" s="84"/>
      <c r="AB29" s="84"/>
      <c r="AC29" s="84"/>
      <c r="AD29" s="84"/>
      <c r="AE29" s="84"/>
      <c r="AF29" s="84"/>
      <c r="AG29" s="84"/>
      <c r="AH29" s="84"/>
    </row>
    <row r="30" spans="1:34" x14ac:dyDescent="0.3">
      <c r="A30" s="83" t="s">
        <v>34</v>
      </c>
      <c r="B30" s="83"/>
      <c r="C30" s="83"/>
      <c r="D30" s="83"/>
      <c r="E30" s="83"/>
      <c r="F30" s="83"/>
      <c r="G30" s="83"/>
      <c r="H30" s="83"/>
      <c r="I30" s="83"/>
      <c r="J30" s="83"/>
      <c r="K30" s="83"/>
      <c r="L30" s="83"/>
      <c r="M30" s="83"/>
      <c r="N30" s="83"/>
      <c r="O30" s="83"/>
      <c r="P30" s="83"/>
      <c r="Q30" s="84" t="str">
        <f>'Данные Клиента Продавца и Авто'!B21</f>
        <v xml:space="preserve">легковой </v>
      </c>
      <c r="R30" s="84"/>
      <c r="S30" s="84"/>
      <c r="T30" s="84"/>
      <c r="U30" s="84"/>
      <c r="V30" s="84"/>
      <c r="W30" s="84"/>
      <c r="X30" s="84"/>
      <c r="Y30" s="84"/>
      <c r="Z30" s="84"/>
      <c r="AA30" s="84"/>
      <c r="AB30" s="84"/>
      <c r="AC30" s="84"/>
      <c r="AD30" s="84"/>
      <c r="AE30" s="84"/>
      <c r="AF30" s="84"/>
      <c r="AG30" s="84"/>
      <c r="AH30" s="84"/>
    </row>
    <row r="31" spans="1:34" x14ac:dyDescent="0.3">
      <c r="A31" s="83" t="s">
        <v>35</v>
      </c>
      <c r="B31" s="83"/>
      <c r="C31" s="83"/>
      <c r="D31" s="83"/>
      <c r="E31" s="83"/>
      <c r="F31" s="83"/>
      <c r="G31" s="83"/>
      <c r="H31" s="83"/>
      <c r="I31" s="83"/>
      <c r="J31" s="83"/>
      <c r="K31" s="83"/>
      <c r="L31" s="83"/>
      <c r="M31" s="83"/>
      <c r="N31" s="83"/>
      <c r="O31" s="83"/>
      <c r="P31" s="83"/>
      <c r="Q31" s="84" t="str">
        <f>'Данные Клиента Продавца и Авто'!B22</f>
        <v>В</v>
      </c>
      <c r="R31" s="84"/>
      <c r="S31" s="84"/>
      <c r="T31" s="84"/>
      <c r="U31" s="84"/>
      <c r="V31" s="84"/>
      <c r="W31" s="84"/>
      <c r="X31" s="84"/>
      <c r="Y31" s="84"/>
      <c r="Z31" s="84"/>
      <c r="AA31" s="84"/>
      <c r="AB31" s="84"/>
      <c r="AC31" s="84"/>
      <c r="AD31" s="84"/>
      <c r="AE31" s="84"/>
      <c r="AF31" s="84"/>
      <c r="AG31" s="84"/>
      <c r="AH31" s="84"/>
    </row>
    <row r="32" spans="1:34" x14ac:dyDescent="0.3">
      <c r="A32" s="83" t="s">
        <v>36</v>
      </c>
      <c r="B32" s="83"/>
      <c r="C32" s="83"/>
      <c r="D32" s="83"/>
      <c r="E32" s="83"/>
      <c r="F32" s="83"/>
      <c r="G32" s="83"/>
      <c r="H32" s="83"/>
      <c r="I32" s="83"/>
      <c r="J32" s="83"/>
      <c r="K32" s="83"/>
      <c r="L32" s="83"/>
      <c r="M32" s="83"/>
      <c r="N32" s="83"/>
      <c r="O32" s="83"/>
      <c r="P32" s="83"/>
      <c r="Q32" s="84" t="str">
        <f>'Данные Клиента Продавца и Авто'!B23</f>
        <v>гггг</v>
      </c>
      <c r="R32" s="84"/>
      <c r="S32" s="84"/>
      <c r="T32" s="84"/>
      <c r="U32" s="84"/>
      <c r="V32" s="84"/>
      <c r="W32" s="84"/>
      <c r="X32" s="84"/>
      <c r="Y32" s="84"/>
      <c r="Z32" s="84"/>
      <c r="AA32" s="84"/>
      <c r="AB32" s="84"/>
      <c r="AC32" s="84"/>
      <c r="AD32" s="84"/>
      <c r="AE32" s="84"/>
      <c r="AF32" s="84"/>
      <c r="AG32" s="84"/>
      <c r="AH32" s="84"/>
    </row>
    <row r="33" spans="1:34" x14ac:dyDescent="0.3">
      <c r="A33" s="83" t="s">
        <v>37</v>
      </c>
      <c r="B33" s="83"/>
      <c r="C33" s="83"/>
      <c r="D33" s="83"/>
      <c r="E33" s="83"/>
      <c r="F33" s="83"/>
      <c r="G33" s="83"/>
      <c r="H33" s="83"/>
      <c r="I33" s="83"/>
      <c r="J33" s="83"/>
      <c r="K33" s="83"/>
      <c r="L33" s="83"/>
      <c r="M33" s="83"/>
      <c r="N33" s="83"/>
      <c r="O33" s="83"/>
      <c r="P33" s="83"/>
      <c r="Q33" s="84" t="str">
        <f>'Данные Клиента Продавца и Авто'!B24</f>
        <v>отсутствует</v>
      </c>
      <c r="R33" s="84"/>
      <c r="S33" s="84"/>
      <c r="T33" s="84"/>
      <c r="U33" s="84"/>
      <c r="V33" s="84"/>
      <c r="W33" s="84"/>
      <c r="X33" s="84"/>
      <c r="Y33" s="84"/>
      <c r="Z33" s="84"/>
      <c r="AA33" s="84"/>
      <c r="AB33" s="84"/>
      <c r="AC33" s="84"/>
      <c r="AD33" s="84"/>
      <c r="AE33" s="84"/>
      <c r="AF33" s="84"/>
      <c r="AG33" s="84"/>
      <c r="AH33" s="84"/>
    </row>
    <row r="34" spans="1:34" x14ac:dyDescent="0.3">
      <c r="A34" s="83" t="s">
        <v>38</v>
      </c>
      <c r="B34" s="83"/>
      <c r="C34" s="83"/>
      <c r="D34" s="83"/>
      <c r="E34" s="83"/>
      <c r="F34" s="83"/>
      <c r="G34" s="83"/>
      <c r="H34" s="83"/>
      <c r="I34" s="83"/>
      <c r="J34" s="83"/>
      <c r="K34" s="83"/>
      <c r="L34" s="83"/>
      <c r="M34" s="83"/>
      <c r="N34" s="83"/>
      <c r="O34" s="83"/>
      <c r="P34" s="83"/>
      <c r="Q34" s="84" t="str">
        <f>'Данные Клиента Продавца и Авто'!B25</f>
        <v>VIN</v>
      </c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</row>
    <row r="35" spans="1:34" x14ac:dyDescent="0.3">
      <c r="A35" s="83" t="s">
        <v>39</v>
      </c>
      <c r="B35" s="83"/>
      <c r="C35" s="83"/>
      <c r="D35" s="83"/>
      <c r="E35" s="83"/>
      <c r="F35" s="83"/>
      <c r="G35" s="83"/>
      <c r="H35" s="83"/>
      <c r="I35" s="83"/>
      <c r="J35" s="83"/>
      <c r="K35" s="83"/>
      <c r="L35" s="83"/>
      <c r="M35" s="83"/>
      <c r="N35" s="83"/>
      <c r="O35" s="83"/>
      <c r="P35" s="83"/>
      <c r="Q35" s="84" t="str">
        <f>'Данные Клиента Продавца и Авто'!B26</f>
        <v>Цвет авто как в ПТС</v>
      </c>
      <c r="R35" s="84"/>
      <c r="S35" s="84"/>
      <c r="T35" s="84"/>
      <c r="U35" s="84"/>
      <c r="V35" s="84"/>
      <c r="W35" s="84"/>
      <c r="X35" s="84"/>
      <c r="Y35" s="84"/>
      <c r="Z35" s="84"/>
      <c r="AA35" s="84"/>
      <c r="AB35" s="84"/>
      <c r="AC35" s="84"/>
      <c r="AD35" s="84"/>
      <c r="AE35" s="84"/>
      <c r="AF35" s="84"/>
      <c r="AG35" s="84"/>
      <c r="AH35" s="84"/>
    </row>
    <row r="36" spans="1:34" ht="15" customHeight="1" x14ac:dyDescent="0.3">
      <c r="A36" s="85" t="str">
        <f>'Данные Клиента Продавца и Авто'!A27</f>
        <v>Паспорт ТС / Электронный ПТС / Св-во регистрации ТС (серия, номер, кем выдан, дата выдачи):</v>
      </c>
      <c r="B36" s="85"/>
      <c r="C36" s="85"/>
      <c r="D36" s="85"/>
      <c r="E36" s="85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Q36" s="85" t="str">
        <f>'Данные Клиента Продавца и Авто'!B27</f>
        <v>77 УО 666029 Центральная акцизная таможня 12.07.2017</v>
      </c>
      <c r="R36" s="85"/>
      <c r="S36" s="85"/>
      <c r="T36" s="85"/>
      <c r="U36" s="85"/>
      <c r="V36" s="85"/>
      <c r="W36" s="85"/>
      <c r="X36" s="85"/>
      <c r="Y36" s="85"/>
      <c r="Z36" s="85"/>
      <c r="AA36" s="85"/>
      <c r="AB36" s="85"/>
      <c r="AC36" s="85"/>
      <c r="AD36" s="85"/>
      <c r="AE36" s="85"/>
      <c r="AF36" s="85"/>
      <c r="AG36" s="85"/>
      <c r="AH36" s="85"/>
    </row>
    <row r="37" spans="1:34" x14ac:dyDescent="0.3">
      <c r="A37" s="85"/>
      <c r="B37" s="85"/>
      <c r="C37" s="85"/>
      <c r="D37" s="85"/>
      <c r="E37" s="85"/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  <c r="S37" s="85"/>
      <c r="T37" s="85"/>
      <c r="U37" s="85"/>
      <c r="V37" s="85"/>
      <c r="W37" s="85"/>
      <c r="X37" s="85"/>
      <c r="Y37" s="85"/>
      <c r="Z37" s="85"/>
      <c r="AA37" s="85"/>
      <c r="AB37" s="85"/>
      <c r="AC37" s="85"/>
      <c r="AD37" s="85"/>
      <c r="AE37" s="85"/>
      <c r="AF37" s="85"/>
      <c r="AG37" s="85"/>
      <c r="AH37" s="85"/>
    </row>
    <row r="38" spans="1:34" x14ac:dyDescent="0.3">
      <c r="A38" s="8" t="s">
        <v>2</v>
      </c>
    </row>
    <row r="39" spans="1:34" x14ac:dyDescent="0.3">
      <c r="D39" s="5" t="s">
        <v>43</v>
      </c>
    </row>
    <row r="40" spans="1:34" x14ac:dyDescent="0.3">
      <c r="A40" s="5" t="s">
        <v>60</v>
      </c>
    </row>
    <row r="41" spans="1:34" x14ac:dyDescent="0.3">
      <c r="A41" s="5" t="s">
        <v>61</v>
      </c>
    </row>
    <row r="42" spans="1:34" x14ac:dyDescent="0.3">
      <c r="A42" s="5" t="s">
        <v>3</v>
      </c>
    </row>
    <row r="43" spans="1:34" x14ac:dyDescent="0.3">
      <c r="A43" s="5" t="s">
        <v>44</v>
      </c>
    </row>
    <row r="44" spans="1:34" x14ac:dyDescent="0.3">
      <c r="A44" s="5" t="s">
        <v>45</v>
      </c>
    </row>
    <row r="45" spans="1:34" x14ac:dyDescent="0.3">
      <c r="A45" s="5" t="s">
        <v>62</v>
      </c>
    </row>
    <row r="46" spans="1:34" x14ac:dyDescent="0.3">
      <c r="A46" s="9" t="s">
        <v>63</v>
      </c>
    </row>
    <row r="47" spans="1:34" x14ac:dyDescent="0.3">
      <c r="A47" s="9" t="s">
        <v>64</v>
      </c>
    </row>
    <row r="48" spans="1:34" x14ac:dyDescent="0.3">
      <c r="A48" s="9" t="s">
        <v>65</v>
      </c>
    </row>
    <row r="49" spans="1:34" x14ac:dyDescent="0.3">
      <c r="A49" s="9" t="s">
        <v>66</v>
      </c>
    </row>
    <row r="50" spans="1:34" x14ac:dyDescent="0.3">
      <c r="A50" s="9" t="s">
        <v>67</v>
      </c>
    </row>
    <row r="51" spans="1:34" x14ac:dyDescent="0.3">
      <c r="A51" s="5" t="s">
        <v>68</v>
      </c>
    </row>
    <row r="52" spans="1:34" x14ac:dyDescent="0.3">
      <c r="A52" s="5" t="s">
        <v>69</v>
      </c>
    </row>
    <row r="53" spans="1:34" x14ac:dyDescent="0.3">
      <c r="A53" s="5" t="s">
        <v>70</v>
      </c>
    </row>
    <row r="54" spans="1:34" x14ac:dyDescent="0.3">
      <c r="A54" s="5" t="s">
        <v>71</v>
      </c>
    </row>
    <row r="55" spans="1:34" x14ac:dyDescent="0.3">
      <c r="A55" s="5" t="s">
        <v>72</v>
      </c>
    </row>
    <row r="56" spans="1:34" x14ac:dyDescent="0.3">
      <c r="A56" s="5" t="s">
        <v>73</v>
      </c>
    </row>
    <row r="57" spans="1:34" x14ac:dyDescent="0.3">
      <c r="A57" s="5" t="s">
        <v>74</v>
      </c>
    </row>
    <row r="58" spans="1:34" x14ac:dyDescent="0.3">
      <c r="A58" s="5" t="s">
        <v>75</v>
      </c>
    </row>
    <row r="59" spans="1:34" x14ac:dyDescent="0.3">
      <c r="A59" s="5" t="s">
        <v>76</v>
      </c>
    </row>
    <row r="60" spans="1:34" x14ac:dyDescent="0.3">
      <c r="A60" s="81" t="s">
        <v>4</v>
      </c>
      <c r="B60" s="81"/>
      <c r="C60" s="81"/>
      <c r="D60" s="81"/>
      <c r="E60" s="81"/>
      <c r="F60" s="81"/>
      <c r="G60" s="81"/>
      <c r="H60" s="81"/>
      <c r="I60" s="81"/>
      <c r="J60" s="81"/>
      <c r="K60" s="81"/>
      <c r="L60" s="81"/>
      <c r="M60" s="81"/>
      <c r="N60" s="81"/>
      <c r="O60" s="81"/>
      <c r="P60" s="81"/>
      <c r="Q60" s="81"/>
      <c r="R60" s="81"/>
      <c r="S60" s="81"/>
      <c r="T60" s="81"/>
      <c r="U60" s="81"/>
      <c r="V60" s="81"/>
      <c r="W60" s="81"/>
      <c r="X60" s="81"/>
      <c r="Y60" s="81"/>
      <c r="Z60" s="81"/>
      <c r="AA60" s="81"/>
      <c r="AB60" s="81"/>
      <c r="AC60" s="81"/>
      <c r="AD60" s="81"/>
      <c r="AE60" s="81"/>
      <c r="AF60" s="81"/>
      <c r="AG60" s="81"/>
      <c r="AH60" s="81"/>
    </row>
    <row r="61" spans="1:34" x14ac:dyDescent="0.3">
      <c r="A61" s="5" t="s">
        <v>5</v>
      </c>
    </row>
    <row r="62" spans="1:34" x14ac:dyDescent="0.3">
      <c r="A62" s="5" t="s">
        <v>77</v>
      </c>
    </row>
    <row r="63" spans="1:34" x14ac:dyDescent="0.3">
      <c r="A63" s="5" t="s">
        <v>78</v>
      </c>
    </row>
    <row r="64" spans="1:34" x14ac:dyDescent="0.3">
      <c r="A64" s="5" t="s">
        <v>79</v>
      </c>
    </row>
    <row r="65" spans="1:35" x14ac:dyDescent="0.3">
      <c r="A65" s="5" t="s">
        <v>80</v>
      </c>
    </row>
    <row r="66" spans="1:35" x14ac:dyDescent="0.3">
      <c r="A66" s="5" t="s">
        <v>81</v>
      </c>
    </row>
    <row r="67" spans="1:35" x14ac:dyDescent="0.3">
      <c r="A67" s="5" t="s">
        <v>83</v>
      </c>
    </row>
    <row r="68" spans="1:35" x14ac:dyDescent="0.3">
      <c r="A68" s="5" t="s">
        <v>82</v>
      </c>
    </row>
    <row r="69" spans="1:35" x14ac:dyDescent="0.3">
      <c r="A69" s="5" t="s">
        <v>84</v>
      </c>
    </row>
    <row r="70" spans="1:35" x14ac:dyDescent="0.3">
      <c r="A70" s="5" t="s">
        <v>85</v>
      </c>
    </row>
    <row r="71" spans="1:35" x14ac:dyDescent="0.3">
      <c r="A71" s="86" t="e">
        <f ca="1">Лист1!A92</f>
        <v>#NAME?</v>
      </c>
      <c r="B71" s="86"/>
      <c r="C71" s="86"/>
      <c r="D71" s="86"/>
      <c r="E71" s="86"/>
      <c r="F71" s="86"/>
      <c r="G71" s="86"/>
      <c r="H71" s="86"/>
      <c r="I71" s="86"/>
      <c r="J71" s="86"/>
      <c r="K71" s="86"/>
      <c r="L71" s="86"/>
      <c r="M71" s="86"/>
      <c r="N71" s="86"/>
      <c r="O71" s="86"/>
      <c r="P71" s="86"/>
      <c r="Q71" s="86"/>
      <c r="R71" s="86"/>
      <c r="S71" s="86"/>
      <c r="T71" s="86"/>
      <c r="U71" s="86"/>
      <c r="V71" s="86"/>
      <c r="W71" s="86"/>
      <c r="X71" s="86"/>
      <c r="Y71" s="86"/>
      <c r="Z71" s="86"/>
      <c r="AA71" s="86"/>
      <c r="AB71" s="86"/>
      <c r="AC71" s="86"/>
      <c r="AD71" s="86"/>
      <c r="AE71" s="86"/>
      <c r="AF71" s="86"/>
      <c r="AG71" s="86"/>
      <c r="AH71" s="86"/>
      <c r="AI71" s="86"/>
    </row>
    <row r="72" spans="1:35" x14ac:dyDescent="0.3">
      <c r="A72" s="86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86"/>
      <c r="M72" s="86"/>
      <c r="N72" s="86"/>
      <c r="O72" s="86"/>
      <c r="P72" s="86"/>
      <c r="Q72" s="86"/>
      <c r="R72" s="86"/>
      <c r="S72" s="86"/>
      <c r="T72" s="86"/>
      <c r="U72" s="86"/>
      <c r="V72" s="86"/>
      <c r="W72" s="86"/>
      <c r="X72" s="86"/>
      <c r="Y72" s="86"/>
      <c r="Z72" s="86"/>
      <c r="AA72" s="86"/>
      <c r="AB72" s="86"/>
      <c r="AC72" s="86"/>
      <c r="AD72" s="86"/>
      <c r="AE72" s="86"/>
      <c r="AF72" s="86"/>
      <c r="AG72" s="86"/>
      <c r="AH72" s="86"/>
      <c r="AI72" s="86"/>
    </row>
    <row r="73" spans="1:35" x14ac:dyDescent="0.3">
      <c r="A73" s="5" t="s">
        <v>90</v>
      </c>
    </row>
    <row r="74" spans="1:35" x14ac:dyDescent="0.3">
      <c r="A74" s="5" t="s">
        <v>91</v>
      </c>
    </row>
    <row r="75" spans="1:35" x14ac:dyDescent="0.3">
      <c r="A75" s="54" t="s">
        <v>326</v>
      </c>
      <c r="B75" s="54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</row>
    <row r="76" spans="1:35" x14ac:dyDescent="0.3">
      <c r="A76" s="54" t="s">
        <v>327</v>
      </c>
      <c r="B76" s="54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  <c r="AF76" s="54"/>
    </row>
    <row r="77" spans="1:35" x14ac:dyDescent="0.3">
      <c r="A77" s="54" t="s">
        <v>261</v>
      </c>
      <c r="B77" s="89" t="str">
        <f>'Данные Клиента Продавца и Авто'!B35</f>
        <v>02549/2022</v>
      </c>
      <c r="C77" s="89"/>
      <c r="D77" s="89"/>
      <c r="E77" s="89"/>
      <c r="F77" s="54" t="s">
        <v>145</v>
      </c>
      <c r="G77" s="88" t="str">
        <f>'Данные Клиента Продавца и Авто'!B34&amp;Лист1!A48&amp;Лист1!A16</f>
        <v>27.03.2022 г.</v>
      </c>
      <c r="H77" s="88"/>
      <c r="I77" s="88"/>
      <c r="J77" s="88"/>
      <c r="K77" s="88"/>
      <c r="L77" s="88"/>
      <c r="M77" s="54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  <c r="AA77" s="54"/>
      <c r="AB77" s="54"/>
      <c r="AC77" s="54"/>
      <c r="AD77" s="54"/>
      <c r="AE77" s="54"/>
      <c r="AF77" s="54"/>
    </row>
    <row r="78" spans="1:35" x14ac:dyDescent="0.3">
      <c r="A78" s="54" t="s">
        <v>334</v>
      </c>
    </row>
    <row r="79" spans="1:35" x14ac:dyDescent="0.3">
      <c r="A79" s="5" t="s">
        <v>93</v>
      </c>
    </row>
    <row r="80" spans="1:35" x14ac:dyDescent="0.3">
      <c r="A80" s="54" t="s">
        <v>335</v>
      </c>
    </row>
    <row r="81" spans="1:34" x14ac:dyDescent="0.3">
      <c r="A81" s="5" t="s">
        <v>95</v>
      </c>
    </row>
    <row r="82" spans="1:34" x14ac:dyDescent="0.3">
      <c r="A82" s="5" t="s">
        <v>6</v>
      </c>
    </row>
    <row r="83" spans="1:34" x14ac:dyDescent="0.3">
      <c r="A83" s="5" t="s">
        <v>96</v>
      </c>
    </row>
    <row r="84" spans="1:34" x14ac:dyDescent="0.3">
      <c r="A84" s="5" t="s">
        <v>97</v>
      </c>
    </row>
    <row r="85" spans="1:34" x14ac:dyDescent="0.3">
      <c r="A85" s="5" t="s">
        <v>98</v>
      </c>
    </row>
    <row r="86" spans="1:34" x14ac:dyDescent="0.3">
      <c r="A86" s="5" t="s">
        <v>99</v>
      </c>
    </row>
    <row r="87" spans="1:34" x14ac:dyDescent="0.3">
      <c r="A87" s="5" t="s">
        <v>7</v>
      </c>
    </row>
    <row r="88" spans="1:34" x14ac:dyDescent="0.3">
      <c r="A88" s="5" t="s">
        <v>8</v>
      </c>
    </row>
    <row r="89" spans="1:34" x14ac:dyDescent="0.3">
      <c r="A89" s="5" t="s">
        <v>9</v>
      </c>
    </row>
    <row r="90" spans="1:34" x14ac:dyDescent="0.3">
      <c r="A90" s="5" t="s">
        <v>100</v>
      </c>
    </row>
    <row r="91" spans="1:34" x14ac:dyDescent="0.3">
      <c r="A91" s="5" t="s">
        <v>101</v>
      </c>
    </row>
    <row r="92" spans="1:34" x14ac:dyDescent="0.3">
      <c r="A92" s="81" t="s">
        <v>10</v>
      </c>
      <c r="B92" s="81"/>
      <c r="C92" s="81"/>
      <c r="D92" s="81"/>
      <c r="E92" s="81"/>
      <c r="F92" s="81"/>
      <c r="G92" s="81"/>
      <c r="H92" s="81"/>
      <c r="I92" s="81"/>
      <c r="J92" s="81"/>
      <c r="K92" s="81"/>
      <c r="L92" s="81"/>
      <c r="M92" s="81"/>
      <c r="N92" s="81"/>
      <c r="O92" s="81"/>
      <c r="P92" s="81"/>
      <c r="Q92" s="81"/>
      <c r="R92" s="81"/>
      <c r="S92" s="81"/>
      <c r="T92" s="81"/>
      <c r="U92" s="81"/>
      <c r="V92" s="81"/>
      <c r="W92" s="81"/>
      <c r="X92" s="81"/>
      <c r="Y92" s="81"/>
      <c r="Z92" s="81"/>
      <c r="AA92" s="81"/>
      <c r="AB92" s="81"/>
      <c r="AC92" s="81"/>
      <c r="AD92" s="81"/>
      <c r="AE92" s="81"/>
      <c r="AF92" s="81"/>
      <c r="AG92" s="81"/>
      <c r="AH92" s="81"/>
    </row>
    <row r="93" spans="1:34" x14ac:dyDescent="0.3">
      <c r="A93" s="5" t="s">
        <v>102</v>
      </c>
    </row>
    <row r="94" spans="1:34" x14ac:dyDescent="0.3">
      <c r="A94" s="5" t="s">
        <v>103</v>
      </c>
    </row>
    <row r="95" spans="1:34" x14ac:dyDescent="0.3">
      <c r="A95" s="5" t="s">
        <v>104</v>
      </c>
    </row>
    <row r="96" spans="1:34" x14ac:dyDescent="0.3">
      <c r="A96" s="5" t="s">
        <v>105</v>
      </c>
    </row>
    <row r="97" spans="1:34" x14ac:dyDescent="0.3">
      <c r="A97" s="5" t="s">
        <v>106</v>
      </c>
    </row>
    <row r="98" spans="1:34" s="54" customFormat="1" x14ac:dyDescent="0.3">
      <c r="A98" s="54" t="s">
        <v>107</v>
      </c>
    </row>
    <row r="99" spans="1:34" s="54" customFormat="1" x14ac:dyDescent="0.3">
      <c r="A99" s="54" t="s">
        <v>108</v>
      </c>
    </row>
    <row r="100" spans="1:34" s="54" customFormat="1" x14ac:dyDescent="0.3">
      <c r="A100" s="54" t="s">
        <v>328</v>
      </c>
    </row>
    <row r="101" spans="1:34" s="54" customFormat="1" x14ac:dyDescent="0.3">
      <c r="A101" s="54" t="s">
        <v>329</v>
      </c>
    </row>
    <row r="102" spans="1:34" s="54" customFormat="1" ht="15.6" x14ac:dyDescent="0.3">
      <c r="A102" s="54" t="s">
        <v>330</v>
      </c>
      <c r="O102" s="89" t="str">
        <f>B77</f>
        <v>02549/2022</v>
      </c>
      <c r="P102" s="89"/>
      <c r="Q102" s="89"/>
      <c r="R102" s="89"/>
      <c r="S102" s="54" t="s">
        <v>145</v>
      </c>
      <c r="T102" s="88" t="str">
        <f>G77</f>
        <v>27.03.2022 г.</v>
      </c>
      <c r="U102" s="88"/>
      <c r="V102" s="88"/>
      <c r="W102" s="88"/>
      <c r="X102" s="88"/>
      <c r="Y102" s="88"/>
      <c r="Z102" s="1" t="s">
        <v>331</v>
      </c>
    </row>
    <row r="103" spans="1:34" s="54" customFormat="1" x14ac:dyDescent="0.3">
      <c r="A103" s="54" t="s">
        <v>332</v>
      </c>
      <c r="K103" s="2" t="str">
        <f>'Данные Клиента Продавца и Авто'!B36</f>
        <v>Lada KS045 Lala Largus</v>
      </c>
      <c r="R103" s="54" t="s">
        <v>333</v>
      </c>
      <c r="T103" s="2" t="str">
        <f>'Данные Клиента Продавца и Авто'!B37</f>
        <v>XTAKS045LN1455631</v>
      </c>
    </row>
    <row r="104" spans="1:34" x14ac:dyDescent="0.3">
      <c r="A104" s="5" t="s">
        <v>110</v>
      </c>
    </row>
    <row r="105" spans="1:34" x14ac:dyDescent="0.3">
      <c r="A105" s="5" t="s">
        <v>111</v>
      </c>
    </row>
    <row r="106" spans="1:34" x14ac:dyDescent="0.3">
      <c r="A106" s="5" t="s">
        <v>112</v>
      </c>
    </row>
    <row r="107" spans="1:34" x14ac:dyDescent="0.3">
      <c r="A107" s="5" t="s">
        <v>113</v>
      </c>
    </row>
    <row r="108" spans="1:34" x14ac:dyDescent="0.3">
      <c r="A108" s="5" t="s">
        <v>114</v>
      </c>
    </row>
    <row r="109" spans="1:34" x14ac:dyDescent="0.3">
      <c r="A109" s="5" t="s">
        <v>115</v>
      </c>
    </row>
    <row r="110" spans="1:34" x14ac:dyDescent="0.3">
      <c r="A110" s="81" t="s">
        <v>11</v>
      </c>
      <c r="B110" s="81"/>
      <c r="C110" s="81"/>
      <c r="D110" s="81"/>
      <c r="E110" s="81"/>
      <c r="F110" s="81"/>
      <c r="G110" s="81"/>
      <c r="H110" s="81"/>
      <c r="I110" s="81"/>
      <c r="J110" s="81"/>
      <c r="K110" s="81"/>
      <c r="L110" s="81"/>
      <c r="M110" s="81"/>
      <c r="N110" s="81"/>
      <c r="O110" s="81"/>
      <c r="P110" s="81"/>
      <c r="Q110" s="81"/>
      <c r="R110" s="81"/>
      <c r="S110" s="81"/>
      <c r="T110" s="81"/>
      <c r="U110" s="81"/>
      <c r="V110" s="81"/>
      <c r="W110" s="81"/>
      <c r="X110" s="81"/>
      <c r="Y110" s="81"/>
      <c r="Z110" s="81"/>
      <c r="AA110" s="81"/>
      <c r="AB110" s="81"/>
      <c r="AC110" s="81"/>
      <c r="AD110" s="81"/>
      <c r="AE110" s="81"/>
      <c r="AF110" s="81"/>
      <c r="AG110" s="81"/>
      <c r="AH110" s="81"/>
    </row>
    <row r="111" spans="1:34" x14ac:dyDescent="0.3">
      <c r="A111" s="5" t="s">
        <v>116</v>
      </c>
    </row>
    <row r="112" spans="1:34" x14ac:dyDescent="0.3">
      <c r="A112" s="5" t="s">
        <v>117</v>
      </c>
    </row>
    <row r="113" spans="1:34" x14ac:dyDescent="0.3">
      <c r="A113" s="5" t="s">
        <v>121</v>
      </c>
    </row>
    <row r="114" spans="1:34" x14ac:dyDescent="0.3">
      <c r="A114" s="5" t="s">
        <v>122</v>
      </c>
    </row>
    <row r="115" spans="1:34" x14ac:dyDescent="0.3">
      <c r="A115" s="5" t="s">
        <v>120</v>
      </c>
    </row>
    <row r="116" spans="1:34" x14ac:dyDescent="0.3">
      <c r="A116" s="5" t="s">
        <v>119</v>
      </c>
    </row>
    <row r="117" spans="1:34" x14ac:dyDescent="0.3">
      <c r="A117" s="5" t="s">
        <v>118</v>
      </c>
    </row>
    <row r="118" spans="1:34" x14ac:dyDescent="0.3">
      <c r="A118" s="81" t="s">
        <v>12</v>
      </c>
      <c r="B118" s="81"/>
      <c r="C118" s="81"/>
      <c r="D118" s="81"/>
      <c r="E118" s="81"/>
      <c r="F118" s="81"/>
      <c r="G118" s="81"/>
      <c r="H118" s="81"/>
      <c r="I118" s="81"/>
      <c r="J118" s="81"/>
      <c r="K118" s="81"/>
      <c r="L118" s="81"/>
      <c r="M118" s="81"/>
      <c r="N118" s="81"/>
      <c r="O118" s="81"/>
      <c r="P118" s="81"/>
      <c r="Q118" s="81"/>
      <c r="R118" s="81"/>
      <c r="S118" s="81"/>
      <c r="T118" s="81"/>
      <c r="U118" s="81"/>
      <c r="V118" s="81"/>
      <c r="W118" s="81"/>
      <c r="X118" s="81"/>
      <c r="Y118" s="81"/>
      <c r="Z118" s="81"/>
      <c r="AA118" s="81"/>
      <c r="AB118" s="81"/>
      <c r="AC118" s="81"/>
      <c r="AD118" s="81"/>
      <c r="AE118" s="81"/>
      <c r="AF118" s="81"/>
      <c r="AG118" s="81"/>
      <c r="AH118" s="81"/>
    </row>
    <row r="119" spans="1:34" x14ac:dyDescent="0.3">
      <c r="A119" s="5" t="s">
        <v>123</v>
      </c>
    </row>
    <row r="120" spans="1:34" x14ac:dyDescent="0.3">
      <c r="A120" s="5" t="s">
        <v>124</v>
      </c>
    </row>
    <row r="121" spans="1:34" x14ac:dyDescent="0.3">
      <c r="A121" s="81" t="s">
        <v>13</v>
      </c>
      <c r="B121" s="81"/>
      <c r="C121" s="81"/>
      <c r="D121" s="81"/>
      <c r="E121" s="81"/>
      <c r="F121" s="81"/>
      <c r="G121" s="81"/>
      <c r="H121" s="81"/>
      <c r="I121" s="81"/>
      <c r="J121" s="81"/>
      <c r="K121" s="81"/>
      <c r="L121" s="81"/>
      <c r="M121" s="81"/>
      <c r="N121" s="81"/>
      <c r="O121" s="81"/>
      <c r="P121" s="81"/>
      <c r="Q121" s="81"/>
      <c r="R121" s="81"/>
      <c r="S121" s="81"/>
      <c r="T121" s="81"/>
      <c r="U121" s="81"/>
      <c r="V121" s="81"/>
      <c r="W121" s="81"/>
      <c r="X121" s="81"/>
      <c r="Y121" s="81"/>
      <c r="Z121" s="81"/>
      <c r="AA121" s="81"/>
      <c r="AB121" s="81"/>
      <c r="AC121" s="81"/>
      <c r="AD121" s="81"/>
      <c r="AE121" s="81"/>
      <c r="AF121" s="81"/>
      <c r="AG121" s="81"/>
      <c r="AH121" s="81"/>
    </row>
    <row r="122" spans="1:34" x14ac:dyDescent="0.3">
      <c r="A122" s="5" t="s">
        <v>125</v>
      </c>
    </row>
    <row r="123" spans="1:34" x14ac:dyDescent="0.3">
      <c r="A123" s="5" t="s">
        <v>126</v>
      </c>
    </row>
    <row r="124" spans="1:34" x14ac:dyDescent="0.3">
      <c r="A124" s="5" t="s">
        <v>127</v>
      </c>
    </row>
    <row r="125" spans="1:34" x14ac:dyDescent="0.3">
      <c r="A125" s="5" t="s">
        <v>128</v>
      </c>
    </row>
    <row r="126" spans="1:34" x14ac:dyDescent="0.3">
      <c r="A126" s="5" t="s">
        <v>129</v>
      </c>
    </row>
    <row r="127" spans="1:34" x14ac:dyDescent="0.3">
      <c r="A127" s="81" t="s">
        <v>14</v>
      </c>
      <c r="B127" s="81"/>
      <c r="C127" s="81"/>
      <c r="D127" s="81"/>
      <c r="E127" s="81"/>
      <c r="F127" s="81"/>
      <c r="G127" s="81"/>
      <c r="H127" s="81"/>
      <c r="I127" s="81"/>
      <c r="J127" s="81"/>
      <c r="K127" s="81"/>
      <c r="L127" s="81"/>
      <c r="M127" s="81"/>
      <c r="N127" s="81"/>
      <c r="O127" s="81"/>
      <c r="P127" s="81"/>
      <c r="Q127" s="81"/>
      <c r="R127" s="81"/>
      <c r="S127" s="81"/>
      <c r="T127" s="81"/>
      <c r="U127" s="81"/>
      <c r="V127" s="81"/>
      <c r="W127" s="81"/>
      <c r="X127" s="81"/>
      <c r="Y127" s="81"/>
      <c r="Z127" s="81"/>
      <c r="AA127" s="81"/>
      <c r="AB127" s="81"/>
      <c r="AC127" s="81"/>
      <c r="AD127" s="81"/>
      <c r="AE127" s="81"/>
      <c r="AF127" s="81"/>
      <c r="AG127" s="81"/>
      <c r="AH127" s="81"/>
    </row>
    <row r="128" spans="1:34" s="54" customFormat="1" x14ac:dyDescent="0.3">
      <c r="A128" s="54" t="s">
        <v>130</v>
      </c>
    </row>
    <row r="129" spans="1:1" s="54" customFormat="1" x14ac:dyDescent="0.3">
      <c r="A129" s="54" t="s">
        <v>131</v>
      </c>
    </row>
    <row r="130" spans="1:1" s="54" customFormat="1" x14ac:dyDescent="0.3">
      <c r="A130" s="54" t="s">
        <v>336</v>
      </c>
    </row>
    <row r="131" spans="1:1" s="54" customFormat="1" x14ac:dyDescent="0.3">
      <c r="A131" s="54" t="s">
        <v>337</v>
      </c>
    </row>
    <row r="132" spans="1:1" s="54" customFormat="1" x14ac:dyDescent="0.3">
      <c r="A132" s="54" t="s">
        <v>338</v>
      </c>
    </row>
    <row r="133" spans="1:1" s="54" customFormat="1" x14ac:dyDescent="0.3">
      <c r="A133" s="54" t="s">
        <v>339</v>
      </c>
    </row>
    <row r="134" spans="1:1" s="54" customFormat="1" x14ac:dyDescent="0.3">
      <c r="A134" s="54" t="s">
        <v>340</v>
      </c>
    </row>
    <row r="135" spans="1:1" s="54" customFormat="1" x14ac:dyDescent="0.3">
      <c r="A135" s="54" t="s">
        <v>341</v>
      </c>
    </row>
    <row r="136" spans="1:1" s="54" customFormat="1" x14ac:dyDescent="0.3">
      <c r="A136" s="54" t="s">
        <v>342</v>
      </c>
    </row>
    <row r="137" spans="1:1" s="54" customFormat="1" x14ac:dyDescent="0.3">
      <c r="A137" s="54" t="s">
        <v>343</v>
      </c>
    </row>
    <row r="138" spans="1:1" s="54" customFormat="1" x14ac:dyDescent="0.3">
      <c r="A138" s="54" t="s">
        <v>344</v>
      </c>
    </row>
    <row r="139" spans="1:1" s="54" customFormat="1" x14ac:dyDescent="0.3">
      <c r="A139" s="54" t="s">
        <v>345</v>
      </c>
    </row>
    <row r="140" spans="1:1" s="54" customFormat="1" x14ac:dyDescent="0.3">
      <c r="A140" s="54" t="s">
        <v>346</v>
      </c>
    </row>
    <row r="141" spans="1:1" s="54" customFormat="1" x14ac:dyDescent="0.3">
      <c r="A141" s="54" t="s">
        <v>347</v>
      </c>
    </row>
    <row r="142" spans="1:1" s="54" customFormat="1" x14ac:dyDescent="0.3">
      <c r="A142" s="54" t="s">
        <v>348</v>
      </c>
    </row>
    <row r="143" spans="1:1" s="54" customFormat="1" x14ac:dyDescent="0.3">
      <c r="A143" s="54" t="s">
        <v>349</v>
      </c>
    </row>
    <row r="144" spans="1:1" s="54" customFormat="1" x14ac:dyDescent="0.3">
      <c r="A144" s="54" t="s">
        <v>133</v>
      </c>
    </row>
    <row r="145" spans="1:38" s="54" customFormat="1" x14ac:dyDescent="0.3">
      <c r="A145" s="73" t="s">
        <v>350</v>
      </c>
    </row>
    <row r="146" spans="1:38" s="54" customFormat="1" x14ac:dyDescent="0.3">
      <c r="A146" s="54" t="s">
        <v>135</v>
      </c>
    </row>
    <row r="147" spans="1:38" s="54" customFormat="1" x14ac:dyDescent="0.3">
      <c r="A147" s="54" t="s">
        <v>351</v>
      </c>
    </row>
    <row r="148" spans="1:38" s="54" customFormat="1" x14ac:dyDescent="0.3">
      <c r="A148" s="54" t="s">
        <v>137</v>
      </c>
    </row>
    <row r="149" spans="1:38" s="54" customFormat="1" x14ac:dyDescent="0.3">
      <c r="A149" s="54" t="s">
        <v>138</v>
      </c>
    </row>
    <row r="150" spans="1:38" s="54" customFormat="1" x14ac:dyDescent="0.3">
      <c r="A150" s="54" t="s">
        <v>139</v>
      </c>
    </row>
    <row r="151" spans="1:38" x14ac:dyDescent="0.3">
      <c r="A151" s="81" t="s">
        <v>15</v>
      </c>
      <c r="B151" s="81"/>
      <c r="C151" s="81"/>
      <c r="D151" s="81"/>
      <c r="E151" s="81"/>
      <c r="F151" s="81"/>
      <c r="G151" s="81"/>
      <c r="H151" s="81"/>
      <c r="I151" s="81"/>
      <c r="J151" s="81"/>
      <c r="K151" s="81"/>
      <c r="L151" s="81"/>
      <c r="M151" s="81"/>
      <c r="N151" s="81"/>
      <c r="O151" s="81"/>
      <c r="P151" s="81"/>
      <c r="Q151" s="81"/>
      <c r="R151" s="81"/>
      <c r="S151" s="81"/>
      <c r="T151" s="81"/>
      <c r="U151" s="81"/>
      <c r="V151" s="81"/>
      <c r="W151" s="81"/>
      <c r="X151" s="81"/>
      <c r="Y151" s="81"/>
      <c r="Z151" s="81"/>
      <c r="AA151" s="81"/>
      <c r="AB151" s="81"/>
      <c r="AC151" s="81"/>
      <c r="AD151" s="81"/>
      <c r="AE151" s="81"/>
      <c r="AF151" s="81"/>
      <c r="AG151" s="81"/>
      <c r="AH151" s="81"/>
    </row>
    <row r="152" spans="1:38" x14ac:dyDescent="0.3">
      <c r="A152" s="82" t="str">
        <f>Лист1!A95</f>
        <v>8.1. Гр. Фамилия Имя Отчество дд.мм.гггг г.р., паспорт серии 0000, номер 000000, дата выдачи дд.мм.гггг г., Код подразделения: 000-000, выдан: Полностью как в паспорте, адрес регистрации: Область, город, улица, дом, корпус, квартира</v>
      </c>
      <c r="B152" s="82"/>
      <c r="C152" s="82"/>
      <c r="D152" s="82"/>
      <c r="E152" s="82"/>
      <c r="F152" s="82"/>
      <c r="G152" s="82"/>
      <c r="H152" s="82"/>
      <c r="I152" s="82"/>
      <c r="J152" s="82"/>
      <c r="K152" s="82"/>
      <c r="L152" s="82"/>
      <c r="M152" s="82"/>
      <c r="N152" s="82"/>
      <c r="O152" s="82"/>
      <c r="P152" s="82"/>
      <c r="Q152" s="82"/>
      <c r="R152" s="82"/>
      <c r="S152" s="82"/>
      <c r="T152" s="82"/>
      <c r="U152" s="82"/>
      <c r="V152" s="82"/>
      <c r="W152" s="82"/>
      <c r="X152" s="82"/>
      <c r="Y152" s="82"/>
      <c r="Z152" s="82"/>
      <c r="AA152" s="82"/>
      <c r="AB152" s="82"/>
      <c r="AC152" s="82"/>
      <c r="AD152" s="82"/>
      <c r="AE152" s="82"/>
      <c r="AF152" s="82"/>
      <c r="AG152" s="82"/>
      <c r="AH152" s="82"/>
      <c r="AI152" s="82"/>
    </row>
    <row r="153" spans="1:38" x14ac:dyDescent="0.3">
      <c r="A153" s="82"/>
      <c r="B153" s="82"/>
      <c r="C153" s="82"/>
      <c r="D153" s="82"/>
      <c r="E153" s="82"/>
      <c r="F153" s="82"/>
      <c r="G153" s="82"/>
      <c r="H153" s="82"/>
      <c r="I153" s="82"/>
      <c r="J153" s="82"/>
      <c r="K153" s="82"/>
      <c r="L153" s="82"/>
      <c r="M153" s="82"/>
      <c r="N153" s="82"/>
      <c r="O153" s="82"/>
      <c r="P153" s="82"/>
      <c r="Q153" s="82"/>
      <c r="R153" s="82"/>
      <c r="S153" s="82"/>
      <c r="T153" s="82"/>
      <c r="U153" s="82"/>
      <c r="V153" s="82"/>
      <c r="W153" s="82"/>
      <c r="X153" s="82"/>
      <c r="Y153" s="82"/>
      <c r="Z153" s="82"/>
      <c r="AA153" s="82"/>
      <c r="AB153" s="82"/>
      <c r="AC153" s="82"/>
      <c r="AD153" s="82"/>
      <c r="AE153" s="82"/>
      <c r="AF153" s="82"/>
      <c r="AG153" s="82"/>
      <c r="AH153" s="82"/>
      <c r="AI153" s="82"/>
    </row>
    <row r="154" spans="1:38" x14ac:dyDescent="0.3">
      <c r="A154" s="82"/>
      <c r="B154" s="82"/>
      <c r="C154" s="82"/>
      <c r="D154" s="82"/>
      <c r="E154" s="82"/>
      <c r="F154" s="82"/>
      <c r="G154" s="82"/>
      <c r="H154" s="82"/>
      <c r="I154" s="82"/>
      <c r="J154" s="82"/>
      <c r="K154" s="82"/>
      <c r="L154" s="82"/>
      <c r="M154" s="82"/>
      <c r="N154" s="82"/>
      <c r="O154" s="82"/>
      <c r="P154" s="82"/>
      <c r="Q154" s="82"/>
      <c r="R154" s="82"/>
      <c r="S154" s="82"/>
      <c r="T154" s="82"/>
      <c r="U154" s="82"/>
      <c r="V154" s="82"/>
      <c r="W154" s="82"/>
      <c r="X154" s="82"/>
      <c r="Y154" s="82"/>
      <c r="Z154" s="82"/>
      <c r="AA154" s="82"/>
      <c r="AB154" s="82"/>
      <c r="AC154" s="82"/>
      <c r="AD154" s="82"/>
      <c r="AE154" s="82"/>
      <c r="AF154" s="82"/>
      <c r="AG154" s="82"/>
      <c r="AH154" s="82"/>
      <c r="AI154" s="82"/>
    </row>
    <row r="155" spans="1:38" x14ac:dyDescent="0.3">
      <c r="A155" s="82"/>
      <c r="B155" s="82"/>
      <c r="C155" s="82"/>
      <c r="D155" s="82"/>
      <c r="E155" s="82"/>
      <c r="F155" s="82"/>
      <c r="G155" s="82"/>
      <c r="H155" s="82"/>
      <c r="I155" s="82"/>
      <c r="J155" s="82"/>
      <c r="K155" s="82"/>
      <c r="L155" s="82"/>
      <c r="M155" s="82"/>
      <c r="N155" s="82"/>
      <c r="O155" s="82"/>
      <c r="P155" s="82"/>
      <c r="Q155" s="82"/>
      <c r="R155" s="82"/>
      <c r="S155" s="82"/>
      <c r="T155" s="82"/>
      <c r="U155" s="82"/>
      <c r="V155" s="82"/>
      <c r="W155" s="82"/>
      <c r="X155" s="82"/>
      <c r="Y155" s="82"/>
      <c r="Z155" s="82"/>
      <c r="AA155" s="82"/>
      <c r="AB155" s="82"/>
      <c r="AC155" s="82"/>
      <c r="AD155" s="82"/>
      <c r="AE155" s="82"/>
      <c r="AF155" s="82"/>
      <c r="AG155" s="82"/>
      <c r="AH155" s="82"/>
      <c r="AI155" s="82"/>
    </row>
    <row r="156" spans="1:38" x14ac:dyDescent="0.3">
      <c r="A156" s="2" t="str">
        <f>Лист1!A97</f>
        <v>8.2. Агент: ИП Антонов Д.Н.</v>
      </c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L156" s="43"/>
    </row>
    <row r="157" spans="1:38" x14ac:dyDescent="0.3">
      <c r="A157" s="2" t="str">
        <f>'Карточка ИП'!A21&amp;Лист1!A11&amp;'Карточка ИП'!B21</f>
        <v>ИНН 667327231596</v>
      </c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L157" s="43"/>
    </row>
    <row r="158" spans="1:38" x14ac:dyDescent="0.3">
      <c r="A158" s="2" t="str">
        <f>'Карточка ИП'!A16&amp;Лист1!A38&amp;'Карточка ИП'!B16</f>
        <v>Юридический адрес: 620098, г. Екатеринбург, ул. Ярославская, д. 33, кв. 2</v>
      </c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L158" s="43"/>
    </row>
    <row r="159" spans="1:38" x14ac:dyDescent="0.3">
      <c r="A159" s="2" t="str">
        <f>'Карточка ИП'!A17&amp;Лист1!A38&amp;'Карточка ИП'!B17</f>
        <v>Фактический адрес: 620109, г. Екатеринбург, ул. Металургов, д. 69</v>
      </c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L159" s="43"/>
    </row>
    <row r="160" spans="1:38" x14ac:dyDescent="0.3">
      <c r="A160" s="2" t="str">
        <f>'Карточка ИП'!A23&amp;Лист1!A38&amp;'Карточка ИП'!B23</f>
        <v>Р/С: 40802810902500077873</v>
      </c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L160" s="43"/>
    </row>
    <row r="161" spans="1:34" x14ac:dyDescent="0.3">
      <c r="A161" s="2" t="str">
        <f>'Карточка ИП'!B27</f>
        <v>ТОЧКА ПАО БАНКА "ФК ОТКРЫТИЕ" г. Москва</v>
      </c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</row>
    <row r="162" spans="1:34" x14ac:dyDescent="0.3">
      <c r="A162" s="2" t="str">
        <f>'Карточка ИП'!A24&amp;Лист1!A38&amp;'Карточка ИП'!B24</f>
        <v>К/С: 30101810845250000999</v>
      </c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</row>
    <row r="163" spans="1:34" ht="15.75" customHeight="1" x14ac:dyDescent="0.3">
      <c r="A163" s="2" t="str">
        <f>'Карточка ИП'!A25&amp;Лист1!A38&amp;'Карточка ИП'!B25</f>
        <v>БИК: 044525999</v>
      </c>
      <c r="B163" s="2"/>
      <c r="C163" s="2"/>
      <c r="D163" s="2"/>
      <c r="E163" s="2"/>
      <c r="F163" s="2"/>
      <c r="G163" s="2"/>
      <c r="H163" s="2" t="str">
        <f>'Карточка ИП'!A20&amp;Лист1!A38&amp;'Карточка ИП'!B20</f>
        <v>ОГРНИП: 319665800247983</v>
      </c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</row>
    <row r="164" spans="1:34" x14ac:dyDescent="0.3">
      <c r="A164" s="2" t="str">
        <f>'Карточка ИП'!A18&amp;Лист1!A38&amp;'Карточка ИП'!B18</f>
        <v>Телефон: +7 (343) 385 60 38</v>
      </c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</row>
    <row r="166" spans="1:34" x14ac:dyDescent="0.3">
      <c r="A166" s="81" t="s">
        <v>16</v>
      </c>
      <c r="B166" s="81"/>
      <c r="C166" s="81"/>
      <c r="D166" s="81"/>
      <c r="E166" s="81"/>
      <c r="F166" s="81"/>
      <c r="G166" s="81"/>
      <c r="H166" s="81"/>
      <c r="I166" s="81"/>
      <c r="J166" s="81"/>
      <c r="K166" s="81"/>
      <c r="L166" s="81"/>
      <c r="M166" s="81"/>
      <c r="N166" s="81"/>
      <c r="O166" s="81"/>
      <c r="P166" s="81"/>
      <c r="Q166" s="81"/>
      <c r="R166" s="81"/>
      <c r="S166" s="81"/>
      <c r="T166" s="81"/>
      <c r="U166" s="81"/>
      <c r="V166" s="81"/>
      <c r="W166" s="81"/>
      <c r="X166" s="81"/>
      <c r="Y166" s="81"/>
      <c r="Z166" s="81"/>
      <c r="AA166" s="81"/>
      <c r="AB166" s="81"/>
      <c r="AC166" s="81"/>
      <c r="AD166" s="81"/>
      <c r="AE166" s="81"/>
      <c r="AF166" s="81"/>
      <c r="AG166" s="81"/>
      <c r="AH166" s="81"/>
    </row>
    <row r="168" spans="1:34" x14ac:dyDescent="0.3">
      <c r="B168" s="5" t="s">
        <v>140</v>
      </c>
      <c r="T168" s="5" t="s">
        <v>143</v>
      </c>
    </row>
    <row r="170" spans="1:34" ht="15.6" x14ac:dyDescent="0.3">
      <c r="A170" s="1" t="s">
        <v>141</v>
      </c>
      <c r="I170" s="5" t="str">
        <f>Лист1!A40&amp;'Данные Клиента Продавца и Авто'!B6&amp;Лист1!A40</f>
        <v>/Фамилия И.О./</v>
      </c>
      <c r="J170" s="2"/>
      <c r="T170" s="54" t="s">
        <v>325</v>
      </c>
      <c r="AA170" s="5" t="str">
        <f>Лист1!A40&amp;'Карточка ИП'!B15&amp;Лист1!A40</f>
        <v>/Антонов Д.Н./</v>
      </c>
    </row>
    <row r="171" spans="1:34" x14ac:dyDescent="0.3">
      <c r="T171" s="5" t="s">
        <v>144</v>
      </c>
    </row>
  </sheetData>
  <mergeCells count="36">
    <mergeCell ref="A152:AI155"/>
    <mergeCell ref="A166:AH166"/>
    <mergeCell ref="B77:E77"/>
    <mergeCell ref="G77:L77"/>
    <mergeCell ref="O102:R102"/>
    <mergeCell ref="T102:Y102"/>
    <mergeCell ref="A92:AH92"/>
    <mergeCell ref="A110:AH110"/>
    <mergeCell ref="A118:AH118"/>
    <mergeCell ref="A121:AH121"/>
    <mergeCell ref="A127:AH127"/>
    <mergeCell ref="A151:AH151"/>
    <mergeCell ref="A71:AI72"/>
    <mergeCell ref="A32:P32"/>
    <mergeCell ref="Q32:AH32"/>
    <mergeCell ref="A33:P33"/>
    <mergeCell ref="Q33:AH33"/>
    <mergeCell ref="A34:P34"/>
    <mergeCell ref="Q34:AH34"/>
    <mergeCell ref="A35:P35"/>
    <mergeCell ref="Q35:AH35"/>
    <mergeCell ref="A36:P37"/>
    <mergeCell ref="Q36:AH37"/>
    <mergeCell ref="A60:AH60"/>
    <mergeCell ref="A29:P29"/>
    <mergeCell ref="Q29:AH29"/>
    <mergeCell ref="A30:P30"/>
    <mergeCell ref="Q30:AH30"/>
    <mergeCell ref="A31:P31"/>
    <mergeCell ref="Q31:AH31"/>
    <mergeCell ref="T1:U1"/>
    <mergeCell ref="AC2:AH2"/>
    <mergeCell ref="A3:AI9"/>
    <mergeCell ref="A10:AH10"/>
    <mergeCell ref="A28:P28"/>
    <mergeCell ref="Q28:AH28"/>
  </mergeCells>
  <pageMargins left="0.19685039370078741" right="0.19685039370078741" top="0.39370078740157483" bottom="0.51181102362204722" header="0.31496062992125984" footer="0.31496062992125984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4">
    <tabColor rgb="FF92D050"/>
  </sheetPr>
  <dimension ref="A1:AH165"/>
  <sheetViews>
    <sheetView view="pageLayout" zoomScaleNormal="100" workbookViewId="0">
      <selection sqref="A1:AH1"/>
    </sheetView>
  </sheetViews>
  <sheetFormatPr defaultColWidth="2.77734375" defaultRowHeight="14.4" x14ac:dyDescent="0.3"/>
  <cols>
    <col min="1" max="16384" width="2.77734375" style="5"/>
  </cols>
  <sheetData>
    <row r="1" spans="1:34" s="6" customFormat="1" ht="15.6" x14ac:dyDescent="0.3">
      <c r="A1" s="90" t="s">
        <v>149</v>
      </c>
      <c r="B1" s="90"/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90"/>
      <c r="T1" s="90"/>
      <c r="U1" s="90"/>
      <c r="V1" s="90"/>
      <c r="W1" s="90"/>
      <c r="X1" s="90"/>
      <c r="Y1" s="90"/>
      <c r="Z1" s="90"/>
      <c r="AA1" s="90"/>
      <c r="AB1" s="90"/>
      <c r="AC1" s="90"/>
      <c r="AD1" s="90"/>
      <c r="AE1" s="90"/>
      <c r="AF1" s="90"/>
      <c r="AG1" s="90"/>
      <c r="AH1" s="90"/>
    </row>
    <row r="2" spans="1:34" ht="15.6" x14ac:dyDescent="0.3">
      <c r="A2" s="90" t="s">
        <v>150</v>
      </c>
      <c r="B2" s="90"/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</row>
    <row r="3" spans="1:34" ht="15.6" x14ac:dyDescent="0.3">
      <c r="A3" s="90" t="s">
        <v>151</v>
      </c>
      <c r="B3" s="90"/>
      <c r="C3" s="90"/>
      <c r="D3" s="90"/>
      <c r="E3" s="90"/>
      <c r="F3" s="90"/>
      <c r="G3" s="90"/>
      <c r="H3" s="90"/>
      <c r="I3" s="90"/>
      <c r="J3" s="90"/>
      <c r="K3" s="90"/>
      <c r="L3" s="90"/>
      <c r="M3" s="90"/>
      <c r="N3" s="90"/>
      <c r="O3" s="90"/>
      <c r="P3" s="90"/>
      <c r="Q3" s="90"/>
      <c r="R3" s="90"/>
      <c r="S3" s="90"/>
      <c r="T3" s="90"/>
      <c r="U3" s="90"/>
      <c r="V3" s="90"/>
      <c r="W3" s="90"/>
      <c r="X3" s="90"/>
      <c r="Y3" s="90"/>
      <c r="Z3" s="90"/>
      <c r="AA3" s="90"/>
      <c r="AB3" s="90"/>
      <c r="AC3" s="90"/>
      <c r="AD3" s="90"/>
      <c r="AE3" s="90"/>
      <c r="AF3" s="90"/>
      <c r="AG3" s="90"/>
      <c r="AH3" s="90"/>
    </row>
    <row r="4" spans="1:34" x14ac:dyDescent="0.3">
      <c r="A4" s="5" t="str">
        <f>Лист1!A16&amp;Лист1!A48&amp;'Данные Клиента Продавца и Авто'!B2</f>
        <v>г. Екатеринбург</v>
      </c>
      <c r="AC4" s="88" t="str">
        <f>'Данные Клиента Продавца и Авто'!B4&amp;Лист1!A48&amp;Лист1!A16</f>
        <v>19.09.2022 г.</v>
      </c>
      <c r="AD4" s="89"/>
      <c r="AE4" s="89"/>
      <c r="AF4" s="89"/>
      <c r="AG4" s="89"/>
      <c r="AH4" s="89"/>
    </row>
    <row r="5" spans="1:34" ht="15" customHeight="1" x14ac:dyDescent="0.3">
      <c r="A5" s="86" t="str">
        <f>Лист1!A100</f>
        <v xml:space="preserve">Гр. Фамилия Имя Отчество дд.мм.гггг г.р., паспорт серии 0000, номер 000000, дата выдачи дд.мм.гггг г., Код подразделения: 000-000, выдан: Полностью как в паспорте, адрес регистрации: Область, город, улица, дом, корпус, квартира, именуемый (-ая) в дальнейшем «Принципал», с одной стороны, и Индивидуальный предприниматель Антонов Денис Николаевич, именуемый в дальнейшем «Агент», с другой стороны, все вместе именуемые Стороны, заключили настоящий акт о нижеследующем: </v>
      </c>
      <c r="B5" s="86"/>
      <c r="C5" s="86"/>
      <c r="D5" s="86"/>
      <c r="E5" s="86"/>
      <c r="F5" s="86"/>
      <c r="G5" s="86"/>
      <c r="H5" s="86"/>
      <c r="I5" s="86"/>
      <c r="J5" s="86"/>
      <c r="K5" s="86"/>
      <c r="L5" s="86"/>
      <c r="M5" s="86"/>
      <c r="N5" s="86"/>
      <c r="O5" s="86"/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</row>
    <row r="6" spans="1:34" x14ac:dyDescent="0.3">
      <c r="A6" s="86"/>
      <c r="B6" s="86"/>
      <c r="C6" s="86"/>
      <c r="D6" s="86"/>
      <c r="E6" s="86"/>
      <c r="F6" s="86"/>
      <c r="G6" s="86"/>
      <c r="H6" s="86"/>
      <c r="I6" s="86"/>
      <c r="J6" s="86"/>
      <c r="K6" s="86"/>
      <c r="L6" s="86"/>
      <c r="M6" s="86"/>
      <c r="N6" s="86"/>
      <c r="O6" s="86"/>
      <c r="P6" s="86"/>
      <c r="Q6" s="86"/>
      <c r="R6" s="86"/>
      <c r="S6" s="86"/>
      <c r="T6" s="86"/>
      <c r="U6" s="86"/>
      <c r="V6" s="86"/>
      <c r="W6" s="86"/>
      <c r="X6" s="86"/>
      <c r="Y6" s="86"/>
      <c r="Z6" s="86"/>
      <c r="AA6" s="86"/>
      <c r="AB6" s="86"/>
      <c r="AC6" s="86"/>
      <c r="AD6" s="86"/>
      <c r="AE6" s="86"/>
      <c r="AF6" s="86"/>
      <c r="AG6" s="86"/>
      <c r="AH6" s="86"/>
    </row>
    <row r="7" spans="1:34" x14ac:dyDescent="0.3">
      <c r="A7" s="86"/>
      <c r="B7" s="86"/>
      <c r="C7" s="86"/>
      <c r="D7" s="86"/>
      <c r="E7" s="86"/>
      <c r="F7" s="86"/>
      <c r="G7" s="86"/>
      <c r="H7" s="86"/>
      <c r="I7" s="86"/>
      <c r="J7" s="86"/>
      <c r="K7" s="86"/>
      <c r="L7" s="86"/>
      <c r="M7" s="86"/>
      <c r="N7" s="86"/>
      <c r="O7" s="86"/>
      <c r="P7" s="86"/>
      <c r="Q7" s="86"/>
      <c r="R7" s="86"/>
      <c r="S7" s="86"/>
      <c r="T7" s="86"/>
      <c r="U7" s="86"/>
      <c r="V7" s="86"/>
      <c r="W7" s="86"/>
      <c r="X7" s="86"/>
      <c r="Y7" s="86"/>
      <c r="Z7" s="86"/>
      <c r="AA7" s="86"/>
      <c r="AB7" s="86"/>
      <c r="AC7" s="86"/>
      <c r="AD7" s="86"/>
      <c r="AE7" s="86"/>
      <c r="AF7" s="86"/>
      <c r="AG7" s="86"/>
      <c r="AH7" s="86"/>
    </row>
    <row r="8" spans="1:34" x14ac:dyDescent="0.3">
      <c r="A8" s="86"/>
      <c r="B8" s="86"/>
      <c r="C8" s="86"/>
      <c r="D8" s="86"/>
      <c r="E8" s="86"/>
      <c r="F8" s="86"/>
      <c r="G8" s="86"/>
      <c r="H8" s="86"/>
      <c r="I8" s="86"/>
      <c r="J8" s="86"/>
      <c r="K8" s="86"/>
      <c r="L8" s="86"/>
      <c r="M8" s="86"/>
      <c r="N8" s="86"/>
      <c r="O8" s="86"/>
      <c r="P8" s="86"/>
      <c r="Q8" s="86"/>
      <c r="R8" s="86"/>
      <c r="S8" s="86"/>
      <c r="T8" s="86"/>
      <c r="U8" s="86"/>
      <c r="V8" s="86"/>
      <c r="W8" s="86"/>
      <c r="X8" s="86"/>
      <c r="Y8" s="86"/>
      <c r="Z8" s="86"/>
      <c r="AA8" s="86"/>
      <c r="AB8" s="86"/>
      <c r="AC8" s="86"/>
      <c r="AD8" s="86"/>
      <c r="AE8" s="86"/>
      <c r="AF8" s="86"/>
      <c r="AG8" s="86"/>
      <c r="AH8" s="86"/>
    </row>
    <row r="9" spans="1:34" x14ac:dyDescent="0.3">
      <c r="A9" s="86"/>
      <c r="B9" s="86"/>
      <c r="C9" s="86"/>
      <c r="D9" s="86"/>
      <c r="E9" s="86"/>
      <c r="F9" s="86"/>
      <c r="G9" s="86"/>
      <c r="H9" s="86"/>
      <c r="I9" s="86"/>
      <c r="J9" s="86"/>
      <c r="K9" s="86"/>
      <c r="L9" s="86"/>
      <c r="M9" s="86"/>
      <c r="N9" s="86"/>
      <c r="O9" s="86"/>
      <c r="P9" s="86"/>
      <c r="Q9" s="86"/>
      <c r="R9" s="86"/>
      <c r="S9" s="86"/>
      <c r="T9" s="86"/>
      <c r="U9" s="86"/>
      <c r="V9" s="86"/>
      <c r="W9" s="86"/>
      <c r="X9" s="86"/>
      <c r="Y9" s="86"/>
      <c r="Z9" s="86"/>
      <c r="AA9" s="86"/>
      <c r="AB9" s="86"/>
      <c r="AC9" s="86"/>
      <c r="AD9" s="86"/>
      <c r="AE9" s="86"/>
      <c r="AF9" s="86"/>
      <c r="AG9" s="86"/>
      <c r="AH9" s="86"/>
    </row>
    <row r="10" spans="1:34" x14ac:dyDescent="0.3">
      <c r="A10" s="86"/>
      <c r="B10" s="86"/>
      <c r="C10" s="86"/>
      <c r="D10" s="86"/>
      <c r="E10" s="86"/>
      <c r="F10" s="86"/>
      <c r="G10" s="86"/>
      <c r="H10" s="86"/>
      <c r="I10" s="86"/>
      <c r="J10" s="86"/>
      <c r="K10" s="86"/>
      <c r="L10" s="86"/>
      <c r="M10" s="86"/>
      <c r="N10" s="86"/>
      <c r="O10" s="86"/>
      <c r="P10" s="86"/>
      <c r="Q10" s="86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AF10" s="86"/>
      <c r="AG10" s="86"/>
      <c r="AH10" s="86"/>
    </row>
    <row r="11" spans="1:34" x14ac:dyDescent="0.3">
      <c r="A11" s="86"/>
      <c r="B11" s="86"/>
      <c r="C11" s="86"/>
      <c r="D11" s="86"/>
      <c r="E11" s="86"/>
      <c r="F11" s="86"/>
      <c r="G11" s="86"/>
      <c r="H11" s="86"/>
      <c r="I11" s="86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6"/>
      <c r="X11" s="86"/>
      <c r="Y11" s="86"/>
      <c r="Z11" s="86"/>
      <c r="AA11" s="86"/>
      <c r="AB11" s="86"/>
      <c r="AC11" s="86"/>
      <c r="AD11" s="86"/>
      <c r="AE11" s="86"/>
      <c r="AF11" s="86"/>
      <c r="AG11" s="86"/>
      <c r="AH11" s="86"/>
    </row>
    <row r="12" spans="1:34" x14ac:dyDescent="0.3">
      <c r="A12" s="5" t="s">
        <v>152</v>
      </c>
      <c r="N12" s="89" t="str">
        <f>'Данные Клиента Продавца и Авто'!B3</f>
        <v>0810</v>
      </c>
      <c r="O12" s="89"/>
      <c r="P12" s="5" t="s">
        <v>153</v>
      </c>
      <c r="Q12" s="88" t="str">
        <f>'Данные Клиента Продавца и Авто'!B4&amp;Лист1!A48&amp;Лист1!A16</f>
        <v>19.09.2022 г.</v>
      </c>
      <c r="R12" s="89"/>
      <c r="S12" s="89"/>
      <c r="T12" s="89"/>
      <c r="U12" s="89"/>
      <c r="V12" s="89"/>
      <c r="W12" s="5" t="s">
        <v>154</v>
      </c>
    </row>
    <row r="13" spans="1:34" x14ac:dyDescent="0.3">
      <c r="A13" s="5" t="s">
        <v>155</v>
      </c>
    </row>
    <row r="15" spans="1:34" x14ac:dyDescent="0.3">
      <c r="A15" s="83" t="str">
        <f>'Агенский договор без зачёта'!A28:P28</f>
        <v xml:space="preserve">Идентификационный номер (VIN): </v>
      </c>
      <c r="B15" s="83"/>
      <c r="C15" s="83"/>
      <c r="D15" s="83"/>
      <c r="E15" s="83"/>
      <c r="F15" s="83"/>
      <c r="G15" s="83"/>
      <c r="H15" s="83"/>
      <c r="I15" s="83"/>
      <c r="J15" s="83"/>
      <c r="K15" s="83"/>
      <c r="L15" s="83"/>
      <c r="M15" s="83"/>
      <c r="N15" s="83"/>
      <c r="O15" s="83"/>
      <c r="P15" s="83"/>
      <c r="Q15" s="84" t="str">
        <f>'Агенский договор без зачёта'!Q28:AH28</f>
        <v>VIN</v>
      </c>
      <c r="R15" s="84"/>
      <c r="S15" s="84"/>
      <c r="T15" s="84"/>
      <c r="U15" s="84"/>
      <c r="V15" s="84"/>
      <c r="W15" s="84"/>
      <c r="X15" s="84"/>
      <c r="Y15" s="84"/>
      <c r="Z15" s="84"/>
      <c r="AA15" s="84"/>
      <c r="AB15" s="84"/>
      <c r="AC15" s="84"/>
      <c r="AD15" s="84"/>
      <c r="AE15" s="84"/>
      <c r="AF15" s="84"/>
      <c r="AG15" s="84"/>
      <c r="AH15" s="84"/>
    </row>
    <row r="16" spans="1:34" x14ac:dyDescent="0.3">
      <c r="A16" s="83" t="str">
        <f>'Агенский договор без зачёта'!A29:P29</f>
        <v>Марка, модель:</v>
      </c>
      <c r="B16" s="83"/>
      <c r="C16" s="83"/>
      <c r="D16" s="83"/>
      <c r="E16" s="83"/>
      <c r="F16" s="83"/>
      <c r="G16" s="83"/>
      <c r="H16" s="83"/>
      <c r="I16" s="83"/>
      <c r="J16" s="83"/>
      <c r="K16" s="83"/>
      <c r="L16" s="83"/>
      <c r="M16" s="83"/>
      <c r="N16" s="83"/>
      <c r="O16" s="83"/>
      <c r="P16" s="83"/>
      <c r="Q16" s="84" t="str">
        <f>'Агенский договор без зачёта'!Q29:AH29</f>
        <v>Марка, модель</v>
      </c>
      <c r="R16" s="84"/>
      <c r="S16" s="84"/>
      <c r="T16" s="84"/>
      <c r="U16" s="84"/>
      <c r="V16" s="84"/>
      <c r="W16" s="84"/>
      <c r="X16" s="84"/>
      <c r="Y16" s="84"/>
      <c r="Z16" s="84"/>
      <c r="AA16" s="84"/>
      <c r="AB16" s="84"/>
      <c r="AC16" s="84"/>
      <c r="AD16" s="84"/>
      <c r="AE16" s="84"/>
      <c r="AF16" s="84"/>
      <c r="AG16" s="84"/>
      <c r="AH16" s="84"/>
    </row>
    <row r="17" spans="1:34" x14ac:dyDescent="0.3">
      <c r="A17" s="83" t="str">
        <f>'Агенский договор без зачёта'!A30:P30</f>
        <v xml:space="preserve">Наименование (тип ТС): </v>
      </c>
      <c r="B17" s="83"/>
      <c r="C17" s="83"/>
      <c r="D17" s="83"/>
      <c r="E17" s="83"/>
      <c r="F17" s="83"/>
      <c r="G17" s="83"/>
      <c r="H17" s="83"/>
      <c r="I17" s="83"/>
      <c r="J17" s="83"/>
      <c r="K17" s="83"/>
      <c r="L17" s="83"/>
      <c r="M17" s="83"/>
      <c r="N17" s="83"/>
      <c r="O17" s="83"/>
      <c r="P17" s="83"/>
      <c r="Q17" s="84" t="str">
        <f>'Агенский договор без зачёта'!Q30:AH30</f>
        <v xml:space="preserve">легковой </v>
      </c>
      <c r="R17" s="84"/>
      <c r="S17" s="84"/>
      <c r="T17" s="84"/>
      <c r="U17" s="84"/>
      <c r="V17" s="84"/>
      <c r="W17" s="84"/>
      <c r="X17" s="84"/>
      <c r="Y17" s="84"/>
      <c r="Z17" s="84"/>
      <c r="AA17" s="84"/>
      <c r="AB17" s="84"/>
      <c r="AC17" s="84"/>
      <c r="AD17" s="84"/>
      <c r="AE17" s="84"/>
      <c r="AF17" s="84"/>
      <c r="AG17" s="84"/>
      <c r="AH17" s="84"/>
    </row>
    <row r="18" spans="1:34" x14ac:dyDescent="0.3">
      <c r="A18" s="83" t="str">
        <f>'Агенский договор без зачёта'!A31:P31</f>
        <v>Категория ТС (A, B, C, D, прицеп):</v>
      </c>
      <c r="B18" s="83"/>
      <c r="C18" s="83"/>
      <c r="D18" s="83"/>
      <c r="E18" s="83"/>
      <c r="F18" s="83"/>
      <c r="G18" s="83"/>
      <c r="H18" s="83"/>
      <c r="I18" s="83"/>
      <c r="J18" s="83"/>
      <c r="K18" s="83"/>
      <c r="L18" s="83"/>
      <c r="M18" s="83"/>
      <c r="N18" s="83"/>
      <c r="O18" s="83"/>
      <c r="P18" s="83"/>
      <c r="Q18" s="84" t="str">
        <f>'Агенский договор без зачёта'!Q31:AH31</f>
        <v>В</v>
      </c>
      <c r="R18" s="84"/>
      <c r="S18" s="84"/>
      <c r="T18" s="84"/>
      <c r="U18" s="84"/>
      <c r="V18" s="84"/>
      <c r="W18" s="84"/>
      <c r="X18" s="84"/>
      <c r="Y18" s="84"/>
      <c r="Z18" s="84"/>
      <c r="AA18" s="84"/>
      <c r="AB18" s="84"/>
      <c r="AC18" s="84"/>
      <c r="AD18" s="84"/>
      <c r="AE18" s="84"/>
      <c r="AF18" s="84"/>
      <c r="AG18" s="84"/>
      <c r="AH18" s="84"/>
    </row>
    <row r="19" spans="1:34" x14ac:dyDescent="0.3">
      <c r="A19" s="83" t="str">
        <f>'Агенский договор без зачёта'!A32:P32</f>
        <v>Год изготовления ТС:</v>
      </c>
      <c r="B19" s="83"/>
      <c r="C19" s="83"/>
      <c r="D19" s="83"/>
      <c r="E19" s="83"/>
      <c r="F19" s="83"/>
      <c r="G19" s="83"/>
      <c r="H19" s="83"/>
      <c r="I19" s="83"/>
      <c r="J19" s="83"/>
      <c r="K19" s="83"/>
      <c r="L19" s="83"/>
      <c r="M19" s="83"/>
      <c r="N19" s="83"/>
      <c r="O19" s="83"/>
      <c r="P19" s="83"/>
      <c r="Q19" s="84" t="str">
        <f>'Агенский договор без зачёта'!Q32:AH32</f>
        <v>гггг</v>
      </c>
      <c r="R19" s="84"/>
      <c r="S19" s="84"/>
      <c r="T19" s="84"/>
      <c r="U19" s="84"/>
      <c r="V19" s="84"/>
      <c r="W19" s="84"/>
      <c r="X19" s="84"/>
      <c r="Y19" s="84"/>
      <c r="Z19" s="84"/>
      <c r="AA19" s="84"/>
      <c r="AB19" s="84"/>
      <c r="AC19" s="84"/>
      <c r="AD19" s="84"/>
      <c r="AE19" s="84"/>
      <c r="AF19" s="84"/>
      <c r="AG19" s="84"/>
      <c r="AH19" s="84"/>
    </row>
    <row r="20" spans="1:34" x14ac:dyDescent="0.3">
      <c r="A20" s="83" t="str">
        <f>'Агенский договор без зачёта'!A33:P33</f>
        <v>Шасси (рама):</v>
      </c>
      <c r="B20" s="83"/>
      <c r="C20" s="83"/>
      <c r="D20" s="83"/>
      <c r="E20" s="83"/>
      <c r="F20" s="83"/>
      <c r="G20" s="83"/>
      <c r="H20" s="83"/>
      <c r="I20" s="83"/>
      <c r="J20" s="83"/>
      <c r="K20" s="83"/>
      <c r="L20" s="83"/>
      <c r="M20" s="83"/>
      <c r="N20" s="83"/>
      <c r="O20" s="83"/>
      <c r="P20" s="83"/>
      <c r="Q20" s="84" t="str">
        <f>'Агенский договор без зачёта'!Q33:AH33</f>
        <v>отсутствует</v>
      </c>
      <c r="R20" s="84"/>
      <c r="S20" s="84"/>
      <c r="T20" s="84"/>
      <c r="U20" s="84"/>
      <c r="V20" s="84"/>
      <c r="W20" s="84"/>
      <c r="X20" s="84"/>
      <c r="Y20" s="84"/>
      <c r="Z20" s="84"/>
      <c r="AA20" s="84"/>
      <c r="AB20" s="84"/>
      <c r="AC20" s="84"/>
      <c r="AD20" s="84"/>
      <c r="AE20" s="84"/>
      <c r="AF20" s="84"/>
      <c r="AG20" s="84"/>
      <c r="AH20" s="84"/>
    </row>
    <row r="21" spans="1:34" x14ac:dyDescent="0.3">
      <c r="A21" s="83" t="str">
        <f>'Агенский договор без зачёта'!A34:P34</f>
        <v>Кузов (кабина, прицеп):</v>
      </c>
      <c r="B21" s="83"/>
      <c r="C21" s="83"/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4" t="str">
        <f>'Агенский договор без зачёта'!Q34:AH34</f>
        <v>VIN</v>
      </c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F21" s="84"/>
      <c r="AG21" s="84"/>
      <c r="AH21" s="84"/>
    </row>
    <row r="22" spans="1:34" x14ac:dyDescent="0.3">
      <c r="A22" s="83" t="str">
        <f>'Агенский договор без зачёта'!A35:P35</f>
        <v>Цвет кузова (кабины, прицепа):</v>
      </c>
      <c r="B22" s="83"/>
      <c r="C22" s="83"/>
      <c r="D22" s="83"/>
      <c r="E22" s="83"/>
      <c r="F22" s="83"/>
      <c r="G22" s="83"/>
      <c r="H22" s="83"/>
      <c r="I22" s="83"/>
      <c r="J22" s="83"/>
      <c r="K22" s="83"/>
      <c r="L22" s="83"/>
      <c r="M22" s="83"/>
      <c r="N22" s="83"/>
      <c r="O22" s="83"/>
      <c r="P22" s="83"/>
      <c r="Q22" s="84" t="str">
        <f>'Агенский договор без зачёта'!Q35:AH35</f>
        <v>Цвет авто как в ПТС</v>
      </c>
      <c r="R22" s="84"/>
      <c r="S22" s="84"/>
      <c r="T22" s="84"/>
      <c r="U22" s="84"/>
      <c r="V22" s="84"/>
      <c r="W22" s="84"/>
      <c r="X22" s="84"/>
      <c r="Y22" s="84"/>
      <c r="Z22" s="84"/>
      <c r="AA22" s="84"/>
      <c r="AB22" s="84"/>
      <c r="AC22" s="84"/>
      <c r="AD22" s="84"/>
      <c r="AE22" s="84"/>
      <c r="AF22" s="84"/>
      <c r="AG22" s="84"/>
      <c r="AH22" s="84"/>
    </row>
    <row r="23" spans="1:34" x14ac:dyDescent="0.3">
      <c r="A23" s="85" t="str">
        <f>'Данные Клиента Продавца и Авто'!A27</f>
        <v>Паспорт ТС / Электронный ПТС / Св-во регистрации ТС (серия, номер, кем выдан, дата выдачи):</v>
      </c>
      <c r="B23" s="85"/>
      <c r="C23" s="85"/>
      <c r="D23" s="85"/>
      <c r="E23" s="85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 t="str">
        <f>'Агенский договор без зачёта'!Q36</f>
        <v>77 УО 666029 Центральная акцизная таможня 12.07.2017</v>
      </c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5"/>
      <c r="AH23" s="85"/>
    </row>
    <row r="24" spans="1:34" x14ac:dyDescent="0.3">
      <c r="A24" s="85"/>
      <c r="B24" s="85"/>
      <c r="C24" s="85"/>
      <c r="D24" s="85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5"/>
      <c r="AH24" s="85"/>
    </row>
    <row r="25" spans="1:34" x14ac:dyDescent="0.3">
      <c r="A25" s="5" t="s">
        <v>156</v>
      </c>
    </row>
    <row r="26" spans="1:34" x14ac:dyDescent="0.3">
      <c r="B26" s="5" t="s">
        <v>157</v>
      </c>
    </row>
    <row r="27" spans="1:34" x14ac:dyDescent="0.3">
      <c r="B27" s="5" t="s">
        <v>158</v>
      </c>
    </row>
    <row r="28" spans="1:34" x14ac:dyDescent="0.3">
      <c r="B28" s="5" t="s">
        <v>159</v>
      </c>
    </row>
    <row r="29" spans="1:34" x14ac:dyDescent="0.3">
      <c r="B29" s="5" t="s">
        <v>160</v>
      </c>
    </row>
    <row r="30" spans="1:34" x14ac:dyDescent="0.3">
      <c r="B30" s="5" t="s">
        <v>161</v>
      </c>
    </row>
    <row r="31" spans="1:34" x14ac:dyDescent="0.3">
      <c r="A31" s="5" t="s">
        <v>162</v>
      </c>
    </row>
    <row r="32" spans="1:34" x14ac:dyDescent="0.3">
      <c r="B32" s="5" t="s">
        <v>163</v>
      </c>
    </row>
    <row r="33" spans="1:27" x14ac:dyDescent="0.3">
      <c r="B33" s="5" t="s">
        <v>164</v>
      </c>
    </row>
    <row r="34" spans="1:27" x14ac:dyDescent="0.3">
      <c r="B34" s="5" t="s">
        <v>165</v>
      </c>
    </row>
    <row r="35" spans="1:27" x14ac:dyDescent="0.3">
      <c r="B35" s="5" t="s">
        <v>166</v>
      </c>
    </row>
    <row r="36" spans="1:27" x14ac:dyDescent="0.3">
      <c r="A36" s="5" t="s">
        <v>167</v>
      </c>
    </row>
    <row r="37" spans="1:27" x14ac:dyDescent="0.3">
      <c r="A37" s="5" t="s">
        <v>168</v>
      </c>
    </row>
    <row r="38" spans="1:27" x14ac:dyDescent="0.3">
      <c r="A38" s="89">
        <f>'Данные Клиента Продавца и Авто'!B31</f>
        <v>100000</v>
      </c>
      <c r="B38" s="89"/>
      <c r="C38" s="89"/>
      <c r="D38" s="5" t="s">
        <v>89</v>
      </c>
      <c r="F38" s="2" t="e">
        <f ca="1">'Данные Клиента Продавца и Авто'!B32</f>
        <v>#NAME?</v>
      </c>
    </row>
    <row r="39" spans="1:27" x14ac:dyDescent="0.3">
      <c r="A39" s="5" t="s">
        <v>169</v>
      </c>
    </row>
    <row r="40" spans="1:27" x14ac:dyDescent="0.3">
      <c r="A40" s="5" t="s">
        <v>170</v>
      </c>
    </row>
    <row r="44" spans="1:27" x14ac:dyDescent="0.3">
      <c r="B44" s="5" t="s">
        <v>140</v>
      </c>
      <c r="T44" s="5" t="s">
        <v>143</v>
      </c>
    </row>
    <row r="46" spans="1:27" ht="15.6" x14ac:dyDescent="0.3">
      <c r="A46" s="1" t="s">
        <v>325</v>
      </c>
      <c r="I46" s="5" t="str">
        <f>Лист1!A40&amp;'Данные Клиента Продавца и Авто'!B6&amp;Лист1!A40</f>
        <v>/Фамилия И.О./</v>
      </c>
      <c r="J46" s="2"/>
      <c r="T46" s="56" t="s">
        <v>325</v>
      </c>
      <c r="AA46" s="5" t="str">
        <f>Лист1!A40&amp;'Карточка ИП'!B15&amp;Лист1!A40</f>
        <v>/Антонов Д.Н./</v>
      </c>
    </row>
    <row r="47" spans="1:27" x14ac:dyDescent="0.3">
      <c r="T47" s="5" t="s">
        <v>144</v>
      </c>
    </row>
    <row r="165" ht="15.75" customHeight="1" x14ac:dyDescent="0.3"/>
  </sheetData>
  <mergeCells count="26">
    <mergeCell ref="A38:C38"/>
    <mergeCell ref="A1:AH1"/>
    <mergeCell ref="A2:AH2"/>
    <mergeCell ref="A3:AH3"/>
    <mergeCell ref="AC4:AH4"/>
    <mergeCell ref="A15:P15"/>
    <mergeCell ref="Q15:AH15"/>
    <mergeCell ref="A16:P16"/>
    <mergeCell ref="Q16:AH16"/>
    <mergeCell ref="A17:P17"/>
    <mergeCell ref="Q17:AH17"/>
    <mergeCell ref="A18:P18"/>
    <mergeCell ref="Q18:AH18"/>
    <mergeCell ref="A5:AH11"/>
    <mergeCell ref="A22:P22"/>
    <mergeCell ref="Q22:AH22"/>
    <mergeCell ref="N12:O12"/>
    <mergeCell ref="Q12:V12"/>
    <mergeCell ref="A23:P24"/>
    <mergeCell ref="Q23:AH24"/>
    <mergeCell ref="A19:P19"/>
    <mergeCell ref="Q19:AH19"/>
    <mergeCell ref="A20:P20"/>
    <mergeCell ref="Q20:AH20"/>
    <mergeCell ref="A21:P21"/>
    <mergeCell ref="Q21:AH21"/>
  </mergeCells>
  <pageMargins left="0.27083333333333331" right="0.1875" top="0.40625" bottom="0.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Лист5">
    <tabColor rgb="FF92D050"/>
  </sheetPr>
  <dimension ref="A1:AH146"/>
  <sheetViews>
    <sheetView view="pageLayout" zoomScaleNormal="100" workbookViewId="0">
      <selection activeCell="V14" sqref="V14"/>
    </sheetView>
  </sheetViews>
  <sheetFormatPr defaultColWidth="2.77734375" defaultRowHeight="14.4" x14ac:dyDescent="0.3"/>
  <cols>
    <col min="1" max="16384" width="2.77734375" style="5"/>
  </cols>
  <sheetData>
    <row r="1" spans="1:34" s="6" customFormat="1" ht="15.6" x14ac:dyDescent="0.3">
      <c r="A1" s="90" t="s">
        <v>149</v>
      </c>
      <c r="B1" s="90"/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90"/>
      <c r="T1" s="90"/>
      <c r="U1" s="90"/>
      <c r="V1" s="90"/>
      <c r="W1" s="90"/>
      <c r="X1" s="90"/>
      <c r="Y1" s="90"/>
      <c r="Z1" s="90"/>
      <c r="AA1" s="90"/>
      <c r="AB1" s="90"/>
      <c r="AC1" s="90"/>
      <c r="AD1" s="90"/>
      <c r="AE1" s="90"/>
      <c r="AF1" s="90"/>
      <c r="AG1" s="90"/>
      <c r="AH1" s="90"/>
    </row>
    <row r="2" spans="1:34" ht="15.6" x14ac:dyDescent="0.3">
      <c r="A2" s="90" t="s">
        <v>171</v>
      </c>
      <c r="B2" s="90"/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</row>
    <row r="3" spans="1:34" x14ac:dyDescent="0.3">
      <c r="X3" s="81"/>
      <c r="Y3" s="81"/>
      <c r="Z3" s="10"/>
      <c r="AC3" s="2"/>
      <c r="AD3" s="2"/>
      <c r="AE3" s="81"/>
      <c r="AF3" s="81"/>
      <c r="AG3" s="81"/>
    </row>
    <row r="4" spans="1:34" ht="15" customHeight="1" x14ac:dyDescent="0.3"/>
    <row r="5" spans="1:34" x14ac:dyDescent="0.3">
      <c r="A5" s="86" t="str">
        <f>Лист1!A100</f>
        <v xml:space="preserve">Гр. Фамилия Имя Отчество дд.мм.гггг г.р., паспорт серии 0000, номер 000000, дата выдачи дд.мм.гггг г., Код подразделения: 000-000, выдан: Полностью как в паспорте, адрес регистрации: Область, город, улица, дом, корпус, квартира, именуемый (-ая) в дальнейшем «Принципал», с одной стороны, и Индивидуальный предприниматель Антонов Денис Николаевич, именуемый в дальнейшем «Агент», с другой стороны, все вместе именуемые Стороны, заключили настоящий акт о нижеследующем: </v>
      </c>
      <c r="B5" s="86"/>
      <c r="C5" s="86"/>
      <c r="D5" s="86"/>
      <c r="E5" s="86"/>
      <c r="F5" s="86"/>
      <c r="G5" s="86"/>
      <c r="H5" s="86"/>
      <c r="I5" s="86"/>
      <c r="J5" s="86"/>
      <c r="K5" s="86"/>
      <c r="L5" s="86"/>
      <c r="M5" s="86"/>
      <c r="N5" s="86"/>
      <c r="O5" s="86"/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</row>
    <row r="6" spans="1:34" x14ac:dyDescent="0.3">
      <c r="A6" s="86"/>
      <c r="B6" s="86"/>
      <c r="C6" s="86"/>
      <c r="D6" s="86"/>
      <c r="E6" s="86"/>
      <c r="F6" s="86"/>
      <c r="G6" s="86"/>
      <c r="H6" s="86"/>
      <c r="I6" s="86"/>
      <c r="J6" s="86"/>
      <c r="K6" s="86"/>
      <c r="L6" s="86"/>
      <c r="M6" s="86"/>
      <c r="N6" s="86"/>
      <c r="O6" s="86"/>
      <c r="P6" s="86"/>
      <c r="Q6" s="86"/>
      <c r="R6" s="86"/>
      <c r="S6" s="86"/>
      <c r="T6" s="86"/>
      <c r="U6" s="86"/>
      <c r="V6" s="86"/>
      <c r="W6" s="86"/>
      <c r="X6" s="86"/>
      <c r="Y6" s="86"/>
      <c r="Z6" s="86"/>
      <c r="AA6" s="86"/>
      <c r="AB6" s="86"/>
      <c r="AC6" s="86"/>
      <c r="AD6" s="86"/>
      <c r="AE6" s="86"/>
      <c r="AF6" s="86"/>
      <c r="AG6" s="86"/>
      <c r="AH6" s="86"/>
    </row>
    <row r="7" spans="1:34" x14ac:dyDescent="0.3">
      <c r="A7" s="86"/>
      <c r="B7" s="86"/>
      <c r="C7" s="86"/>
      <c r="D7" s="86"/>
      <c r="E7" s="86"/>
      <c r="F7" s="86"/>
      <c r="G7" s="86"/>
      <c r="H7" s="86"/>
      <c r="I7" s="86"/>
      <c r="J7" s="86"/>
      <c r="K7" s="86"/>
      <c r="L7" s="86"/>
      <c r="M7" s="86"/>
      <c r="N7" s="86"/>
      <c r="O7" s="86"/>
      <c r="P7" s="86"/>
      <c r="Q7" s="86"/>
      <c r="R7" s="86"/>
      <c r="S7" s="86"/>
      <c r="T7" s="86"/>
      <c r="U7" s="86"/>
      <c r="V7" s="86"/>
      <c r="W7" s="86"/>
      <c r="X7" s="86"/>
      <c r="Y7" s="86"/>
      <c r="Z7" s="86"/>
      <c r="AA7" s="86"/>
      <c r="AB7" s="86"/>
      <c r="AC7" s="86"/>
      <c r="AD7" s="86"/>
      <c r="AE7" s="86"/>
      <c r="AF7" s="86"/>
      <c r="AG7" s="86"/>
      <c r="AH7" s="86"/>
    </row>
    <row r="8" spans="1:34" x14ac:dyDescent="0.3">
      <c r="A8" s="86"/>
      <c r="B8" s="86"/>
      <c r="C8" s="86"/>
      <c r="D8" s="86"/>
      <c r="E8" s="86"/>
      <c r="F8" s="86"/>
      <c r="G8" s="86"/>
      <c r="H8" s="86"/>
      <c r="I8" s="86"/>
      <c r="J8" s="86"/>
      <c r="K8" s="86"/>
      <c r="L8" s="86"/>
      <c r="M8" s="86"/>
      <c r="N8" s="86"/>
      <c r="O8" s="86"/>
      <c r="P8" s="86"/>
      <c r="Q8" s="86"/>
      <c r="R8" s="86"/>
      <c r="S8" s="86"/>
      <c r="T8" s="86"/>
      <c r="U8" s="86"/>
      <c r="V8" s="86"/>
      <c r="W8" s="86"/>
      <c r="X8" s="86"/>
      <c r="Y8" s="86"/>
      <c r="Z8" s="86"/>
      <c r="AA8" s="86"/>
      <c r="AB8" s="86"/>
      <c r="AC8" s="86"/>
      <c r="AD8" s="86"/>
      <c r="AE8" s="86"/>
      <c r="AF8" s="86"/>
      <c r="AG8" s="86"/>
      <c r="AH8" s="86"/>
    </row>
    <row r="9" spans="1:34" x14ac:dyDescent="0.3">
      <c r="A9" s="86"/>
      <c r="B9" s="86"/>
      <c r="C9" s="86"/>
      <c r="D9" s="86"/>
      <c r="E9" s="86"/>
      <c r="F9" s="86"/>
      <c r="G9" s="86"/>
      <c r="H9" s="86"/>
      <c r="I9" s="86"/>
      <c r="J9" s="86"/>
      <c r="K9" s="86"/>
      <c r="L9" s="86"/>
      <c r="M9" s="86"/>
      <c r="N9" s="86"/>
      <c r="O9" s="86"/>
      <c r="P9" s="86"/>
      <c r="Q9" s="86"/>
      <c r="R9" s="86"/>
      <c r="S9" s="86"/>
      <c r="T9" s="86"/>
      <c r="U9" s="86"/>
      <c r="V9" s="86"/>
      <c r="W9" s="86"/>
      <c r="X9" s="86"/>
      <c r="Y9" s="86"/>
      <c r="Z9" s="86"/>
      <c r="AA9" s="86"/>
      <c r="AB9" s="86"/>
      <c r="AC9" s="86"/>
      <c r="AD9" s="86"/>
      <c r="AE9" s="86"/>
      <c r="AF9" s="86"/>
      <c r="AG9" s="86"/>
      <c r="AH9" s="86"/>
    </row>
    <row r="10" spans="1:34" x14ac:dyDescent="0.3">
      <c r="A10" s="86"/>
      <c r="B10" s="86"/>
      <c r="C10" s="86"/>
      <c r="D10" s="86"/>
      <c r="E10" s="86"/>
      <c r="F10" s="86"/>
      <c r="G10" s="86"/>
      <c r="H10" s="86"/>
      <c r="I10" s="86"/>
      <c r="J10" s="86"/>
      <c r="K10" s="86"/>
      <c r="L10" s="86"/>
      <c r="M10" s="86"/>
      <c r="N10" s="86"/>
      <c r="O10" s="86"/>
      <c r="P10" s="86"/>
      <c r="Q10" s="86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AF10" s="86"/>
      <c r="AG10" s="86"/>
      <c r="AH10" s="86"/>
    </row>
    <row r="11" spans="1:34" x14ac:dyDescent="0.3">
      <c r="A11" s="86"/>
      <c r="B11" s="86"/>
      <c r="C11" s="86"/>
      <c r="D11" s="86"/>
      <c r="E11" s="86"/>
      <c r="F11" s="86"/>
      <c r="G11" s="86"/>
      <c r="H11" s="86"/>
      <c r="I11" s="86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6"/>
      <c r="X11" s="86"/>
      <c r="Y11" s="86"/>
      <c r="Z11" s="86"/>
      <c r="AA11" s="86"/>
      <c r="AB11" s="86"/>
      <c r="AC11" s="86"/>
      <c r="AD11" s="86"/>
      <c r="AE11" s="86"/>
      <c r="AF11" s="86"/>
      <c r="AG11" s="86"/>
      <c r="AH11" s="86"/>
    </row>
    <row r="12" spans="1:34" x14ac:dyDescent="0.3">
      <c r="AC12" s="3"/>
      <c r="AD12" s="3"/>
      <c r="AE12" s="3"/>
      <c r="AF12" s="3"/>
      <c r="AG12" s="3"/>
      <c r="AH12" s="3"/>
    </row>
    <row r="13" spans="1:34" x14ac:dyDescent="0.3">
      <c r="AC13" s="3"/>
      <c r="AD13" s="3"/>
      <c r="AE13" s="3"/>
      <c r="AF13" s="3"/>
      <c r="AG13" s="3"/>
      <c r="AH13" s="3"/>
    </row>
    <row r="14" spans="1:34" x14ac:dyDescent="0.3">
      <c r="AC14" s="3"/>
      <c r="AD14" s="3"/>
      <c r="AE14" s="3"/>
      <c r="AF14" s="3"/>
      <c r="AG14" s="3"/>
      <c r="AH14" s="3"/>
    </row>
    <row r="15" spans="1:34" x14ac:dyDescent="0.3">
      <c r="AC15" s="3"/>
      <c r="AD15" s="3"/>
      <c r="AE15" s="3"/>
      <c r="AF15" s="3"/>
      <c r="AG15" s="3"/>
      <c r="AH15" s="3"/>
    </row>
    <row r="16" spans="1:34" x14ac:dyDescent="0.3">
      <c r="AC16" s="3"/>
      <c r="AD16" s="3"/>
      <c r="AE16" s="3"/>
      <c r="AF16" s="3"/>
      <c r="AG16" s="3"/>
      <c r="AH16" s="3"/>
    </row>
    <row r="17" spans="1:34" x14ac:dyDescent="0.3">
      <c r="AC17" s="3"/>
      <c r="AD17" s="3"/>
      <c r="AE17" s="3"/>
      <c r="AF17" s="3"/>
      <c r="AG17" s="3"/>
      <c r="AH17" s="3"/>
    </row>
    <row r="18" spans="1:34" x14ac:dyDescent="0.3">
      <c r="AC18" s="3"/>
      <c r="AD18" s="3"/>
      <c r="AE18" s="3"/>
      <c r="AF18" s="3"/>
      <c r="AG18" s="3"/>
      <c r="AH18" s="3"/>
    </row>
    <row r="19" spans="1:34" x14ac:dyDescent="0.3">
      <c r="AC19" s="3"/>
      <c r="AD19" s="3"/>
      <c r="AE19" s="3"/>
      <c r="AF19" s="3"/>
      <c r="AG19" s="3"/>
      <c r="AH19" s="3"/>
    </row>
    <row r="20" spans="1:34" x14ac:dyDescent="0.3">
      <c r="AC20" s="3"/>
      <c r="AD20" s="3"/>
      <c r="AE20" s="3"/>
      <c r="AF20" s="3"/>
      <c r="AG20" s="3"/>
      <c r="AH20" s="3"/>
    </row>
    <row r="21" spans="1:34" x14ac:dyDescent="0.3">
      <c r="AC21" s="3"/>
      <c r="AD21" s="3"/>
      <c r="AE21" s="3"/>
      <c r="AF21" s="3"/>
      <c r="AG21" s="3"/>
      <c r="AH21" s="3"/>
    </row>
    <row r="22" spans="1:34" x14ac:dyDescent="0.3">
      <c r="AC22" s="3"/>
      <c r="AD22" s="3"/>
      <c r="AE22" s="3"/>
      <c r="AF22" s="3"/>
      <c r="AG22" s="3"/>
      <c r="AH22" s="3"/>
    </row>
    <row r="23" spans="1:34" x14ac:dyDescent="0.3">
      <c r="AC23" s="3"/>
      <c r="AD23" s="3"/>
      <c r="AE23" s="3"/>
      <c r="AF23" s="3"/>
      <c r="AG23" s="3"/>
      <c r="AH23" s="3"/>
    </row>
    <row r="25" spans="1:34" x14ac:dyDescent="0.3">
      <c r="B25" s="5" t="s">
        <v>140</v>
      </c>
      <c r="T25" s="5" t="s">
        <v>143</v>
      </c>
    </row>
    <row r="27" spans="1:34" ht="15.6" x14ac:dyDescent="0.3">
      <c r="A27" s="1" t="s">
        <v>325</v>
      </c>
      <c r="I27" s="5" t="str">
        <f>Лист1!A40&amp;'Данные Клиента Продавца и Авто'!B6&amp;Лист1!A40</f>
        <v>/Фамилия И.О./</v>
      </c>
      <c r="J27" s="2"/>
      <c r="T27" s="56" t="s">
        <v>325</v>
      </c>
      <c r="AA27" s="5" t="str">
        <f>Лист1!A40&amp;'Карточка ИП'!B15&amp;Лист1!A40</f>
        <v>/Антонов Д.Н./</v>
      </c>
    </row>
    <row r="28" spans="1:34" x14ac:dyDescent="0.3">
      <c r="T28" s="5" t="s">
        <v>144</v>
      </c>
    </row>
    <row r="146" ht="15.75" customHeight="1" x14ac:dyDescent="0.3"/>
  </sheetData>
  <mergeCells count="5">
    <mergeCell ref="A1:AH1"/>
    <mergeCell ref="A2:AH2"/>
    <mergeCell ref="X3:Y3"/>
    <mergeCell ref="AE3:AG3"/>
    <mergeCell ref="A5:AH11"/>
  </mergeCells>
  <pageMargins left="0.27083333333333331" right="0.1875" top="0.40625" bottom="0.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6">
    <tabColor rgb="FF92D050"/>
  </sheetPr>
  <dimension ref="A1:AH113"/>
  <sheetViews>
    <sheetView view="pageLayout" topLeftCell="A4" zoomScaleNormal="100" workbookViewId="0">
      <selection activeCell="V23" sqref="V23:AB24"/>
    </sheetView>
  </sheetViews>
  <sheetFormatPr defaultColWidth="2.77734375" defaultRowHeight="14.4" x14ac:dyDescent="0.3"/>
  <cols>
    <col min="1" max="33" width="2.77734375" style="5"/>
    <col min="34" max="34" width="3" style="5" customWidth="1"/>
    <col min="35" max="16384" width="2.77734375" style="5"/>
  </cols>
  <sheetData>
    <row r="1" spans="1:34" s="6" customFormat="1" ht="15.6" x14ac:dyDescent="0.3">
      <c r="A1" s="90" t="s">
        <v>176</v>
      </c>
      <c r="B1" s="90"/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90"/>
      <c r="T1" s="90"/>
      <c r="U1" s="90"/>
      <c r="V1" s="90"/>
      <c r="W1" s="90"/>
      <c r="X1" s="90"/>
      <c r="Y1" s="90"/>
      <c r="Z1" s="90"/>
      <c r="AA1" s="90"/>
      <c r="AB1" s="90"/>
      <c r="AC1" s="90"/>
      <c r="AD1" s="90"/>
      <c r="AE1" s="90"/>
      <c r="AF1" s="90"/>
      <c r="AG1" s="90"/>
      <c r="AH1" s="90"/>
    </row>
    <row r="2" spans="1:34" ht="15.6" x14ac:dyDescent="0.3">
      <c r="A2" s="90" t="s">
        <v>177</v>
      </c>
      <c r="B2" s="90"/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</row>
    <row r="3" spans="1:34" x14ac:dyDescent="0.3">
      <c r="G3" s="10" t="s">
        <v>179</v>
      </c>
      <c r="S3" s="89" t="str">
        <f>'Данные Клиента Продавца и Авто'!B3</f>
        <v>0810</v>
      </c>
      <c r="T3" s="89"/>
      <c r="U3" s="5" t="s">
        <v>145</v>
      </c>
      <c r="V3" s="88" t="str">
        <f>'Данные Клиента Продавца и Авто'!B4&amp;Лист1!A48&amp;Лист1!A16</f>
        <v>19.09.2022 г.</v>
      </c>
      <c r="W3" s="89"/>
      <c r="X3" s="89"/>
      <c r="Y3" s="89"/>
      <c r="Z3" s="89"/>
      <c r="AA3" s="89"/>
    </row>
    <row r="4" spans="1:34" ht="15" customHeight="1" x14ac:dyDescent="0.3"/>
    <row r="7" spans="1:34" x14ac:dyDescent="0.3">
      <c r="A7" s="43" t="str">
        <f>Лист1!A111</f>
        <v xml:space="preserve">Индивидуальный предприниматель Антонов Денис Николаевич, именуемый в дальнейшем «Агент», </v>
      </c>
    </row>
    <row r="8" spans="1:34" x14ac:dyDescent="0.3">
      <c r="A8" s="43" t="s">
        <v>245</v>
      </c>
    </row>
    <row r="16" spans="1:34" ht="15" customHeight="1" x14ac:dyDescent="0.3">
      <c r="A16" s="132" t="s">
        <v>183</v>
      </c>
      <c r="B16" s="132" t="s">
        <v>262</v>
      </c>
      <c r="C16" s="132"/>
      <c r="D16" s="132"/>
      <c r="E16" s="132"/>
      <c r="F16" s="132"/>
      <c r="G16" s="132" t="s">
        <v>188</v>
      </c>
      <c r="H16" s="132"/>
      <c r="I16" s="132"/>
      <c r="J16" s="132" t="s">
        <v>190</v>
      </c>
      <c r="K16" s="132"/>
      <c r="L16" s="132" t="s">
        <v>184</v>
      </c>
      <c r="M16" s="132"/>
      <c r="N16" s="132"/>
      <c r="O16" s="132"/>
      <c r="P16" s="133" t="s">
        <v>189</v>
      </c>
      <c r="Q16" s="133"/>
      <c r="R16" s="133"/>
      <c r="S16" s="133"/>
      <c r="T16" s="133"/>
      <c r="U16" s="133"/>
      <c r="V16" s="133"/>
      <c r="W16" s="133"/>
      <c r="X16" s="133"/>
      <c r="Y16" s="133"/>
      <c r="Z16" s="133"/>
      <c r="AA16" s="133"/>
      <c r="AB16" s="133"/>
      <c r="AC16" s="132" t="s">
        <v>185</v>
      </c>
      <c r="AD16" s="132"/>
      <c r="AE16" s="132"/>
      <c r="AF16" s="132"/>
      <c r="AG16" s="132"/>
      <c r="AH16" s="132"/>
    </row>
    <row r="17" spans="1:34" x14ac:dyDescent="0.3">
      <c r="A17" s="132"/>
      <c r="B17" s="132"/>
      <c r="C17" s="132"/>
      <c r="D17" s="132"/>
      <c r="E17" s="132"/>
      <c r="F17" s="132"/>
      <c r="G17" s="132"/>
      <c r="H17" s="132"/>
      <c r="I17" s="132"/>
      <c r="J17" s="132"/>
      <c r="K17" s="132"/>
      <c r="L17" s="132"/>
      <c r="M17" s="132"/>
      <c r="N17" s="132"/>
      <c r="O17" s="132"/>
      <c r="P17" s="133"/>
      <c r="Q17" s="133"/>
      <c r="R17" s="133"/>
      <c r="S17" s="133"/>
      <c r="T17" s="133"/>
      <c r="U17" s="133"/>
      <c r="V17" s="133"/>
      <c r="W17" s="133"/>
      <c r="X17" s="133"/>
      <c r="Y17" s="133"/>
      <c r="Z17" s="133"/>
      <c r="AA17" s="133"/>
      <c r="AB17" s="133"/>
      <c r="AC17" s="132"/>
      <c r="AD17" s="132"/>
      <c r="AE17" s="132"/>
      <c r="AF17" s="132"/>
      <c r="AG17" s="132"/>
      <c r="AH17" s="132"/>
    </row>
    <row r="18" spans="1:34" x14ac:dyDescent="0.3">
      <c r="A18" s="132"/>
      <c r="B18" s="132"/>
      <c r="C18" s="132"/>
      <c r="D18" s="132"/>
      <c r="E18" s="132"/>
      <c r="F18" s="132"/>
      <c r="G18" s="132"/>
      <c r="H18" s="132"/>
      <c r="I18" s="132"/>
      <c r="J18" s="132"/>
      <c r="K18" s="132"/>
      <c r="L18" s="132"/>
      <c r="M18" s="132"/>
      <c r="N18" s="132"/>
      <c r="O18" s="132"/>
      <c r="P18" s="106"/>
      <c r="Q18" s="106"/>
      <c r="R18" s="106"/>
      <c r="S18" s="106"/>
      <c r="T18" s="106"/>
      <c r="U18" s="106"/>
      <c r="V18" s="106"/>
      <c r="W18" s="106"/>
      <c r="X18" s="106"/>
      <c r="Y18" s="106"/>
      <c r="Z18" s="106"/>
      <c r="AA18" s="106"/>
      <c r="AB18" s="106"/>
      <c r="AC18" s="132"/>
      <c r="AD18" s="132"/>
      <c r="AE18" s="132"/>
      <c r="AF18" s="132"/>
      <c r="AG18" s="132"/>
      <c r="AH18" s="132"/>
    </row>
    <row r="19" spans="1:34" ht="15" customHeight="1" x14ac:dyDescent="0.3">
      <c r="A19" s="106">
        <v>1</v>
      </c>
      <c r="B19" s="108" t="str">
        <f>'Данные Клиента Продавца и Авто'!B20</f>
        <v>Марка, модель</v>
      </c>
      <c r="C19" s="109"/>
      <c r="D19" s="109"/>
      <c r="E19" s="109"/>
      <c r="F19" s="110"/>
      <c r="G19" s="117" t="s">
        <v>186</v>
      </c>
      <c r="H19" s="118"/>
      <c r="I19" s="119"/>
      <c r="J19" s="117">
        <v>1</v>
      </c>
      <c r="K19" s="119"/>
      <c r="L19" s="123"/>
      <c r="M19" s="124"/>
      <c r="N19" s="124"/>
      <c r="O19" s="125"/>
      <c r="P19" s="28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29"/>
      <c r="AC19" s="19"/>
      <c r="AD19" s="19"/>
      <c r="AE19" s="19"/>
      <c r="AF19" s="19"/>
      <c r="AG19" s="19"/>
      <c r="AH19" s="20"/>
    </row>
    <row r="20" spans="1:34" x14ac:dyDescent="0.3">
      <c r="A20" s="107"/>
      <c r="B20" s="111"/>
      <c r="C20" s="112"/>
      <c r="D20" s="112"/>
      <c r="E20" s="112"/>
      <c r="F20" s="113"/>
      <c r="G20" s="94"/>
      <c r="H20" s="95"/>
      <c r="I20" s="96"/>
      <c r="J20" s="94"/>
      <c r="K20" s="96"/>
      <c r="L20" s="126"/>
      <c r="M20" s="127"/>
      <c r="N20" s="127"/>
      <c r="O20" s="128"/>
      <c r="P20" s="30"/>
      <c r="AB20" s="31"/>
      <c r="AC20" s="21"/>
      <c r="AD20" s="21"/>
      <c r="AE20" s="21"/>
      <c r="AF20" s="21"/>
      <c r="AG20" s="21"/>
      <c r="AH20" s="22"/>
    </row>
    <row r="21" spans="1:34" x14ac:dyDescent="0.3">
      <c r="A21" s="107"/>
      <c r="B21" s="111"/>
      <c r="C21" s="112"/>
      <c r="D21" s="112"/>
      <c r="E21" s="112"/>
      <c r="F21" s="113"/>
      <c r="G21" s="94"/>
      <c r="H21" s="95"/>
      <c r="I21" s="96"/>
      <c r="J21" s="94"/>
      <c r="K21" s="96"/>
      <c r="L21" s="126"/>
      <c r="M21" s="127"/>
      <c r="N21" s="127"/>
      <c r="O21" s="128"/>
      <c r="P21" s="94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  <c r="AB21" s="96"/>
      <c r="AC21" s="21"/>
      <c r="AD21" s="21"/>
      <c r="AE21" s="21"/>
      <c r="AF21" s="21"/>
      <c r="AG21" s="21"/>
      <c r="AH21" s="22"/>
    </row>
    <row r="22" spans="1:34" x14ac:dyDescent="0.3">
      <c r="A22" s="107"/>
      <c r="B22" s="111"/>
      <c r="C22" s="112"/>
      <c r="D22" s="112"/>
      <c r="E22" s="112"/>
      <c r="F22" s="113"/>
      <c r="G22" s="94"/>
      <c r="H22" s="95"/>
      <c r="I22" s="96"/>
      <c r="J22" s="94"/>
      <c r="K22" s="96"/>
      <c r="L22" s="126"/>
      <c r="M22" s="127"/>
      <c r="N22" s="127"/>
      <c r="O22" s="128"/>
      <c r="P22" s="94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5"/>
      <c r="AB22" s="96"/>
      <c r="AC22" s="21"/>
      <c r="AD22" s="21"/>
      <c r="AE22" s="21"/>
      <c r="AF22" s="21"/>
      <c r="AG22" s="21"/>
      <c r="AH22" s="22"/>
    </row>
    <row r="23" spans="1:34" x14ac:dyDescent="0.3">
      <c r="A23" s="107"/>
      <c r="B23" s="111"/>
      <c r="C23" s="112"/>
      <c r="D23" s="112"/>
      <c r="E23" s="112"/>
      <c r="F23" s="113"/>
      <c r="G23" s="94"/>
      <c r="H23" s="95"/>
      <c r="I23" s="96"/>
      <c r="J23" s="94"/>
      <c r="K23" s="96"/>
      <c r="L23" s="126"/>
      <c r="M23" s="127"/>
      <c r="N23" s="127"/>
      <c r="O23" s="128"/>
      <c r="P23" s="97" t="s">
        <v>229</v>
      </c>
      <c r="Q23" s="98"/>
      <c r="R23" s="98"/>
      <c r="S23" s="98"/>
      <c r="T23" s="98"/>
      <c r="U23" s="98"/>
      <c r="V23" s="99"/>
      <c r="W23" s="99"/>
      <c r="X23" s="99"/>
      <c r="Y23" s="99"/>
      <c r="Z23" s="99"/>
      <c r="AA23" s="99"/>
      <c r="AB23" s="100"/>
      <c r="AC23" s="101"/>
      <c r="AD23" s="102"/>
      <c r="AE23" s="102"/>
      <c r="AF23" s="102"/>
      <c r="AG23" s="102"/>
      <c r="AH23" s="103"/>
    </row>
    <row r="24" spans="1:34" x14ac:dyDescent="0.3">
      <c r="A24" s="107"/>
      <c r="B24" s="111"/>
      <c r="C24" s="112"/>
      <c r="D24" s="112"/>
      <c r="E24" s="112"/>
      <c r="F24" s="113"/>
      <c r="G24" s="94"/>
      <c r="H24" s="95"/>
      <c r="I24" s="96"/>
      <c r="J24" s="94"/>
      <c r="K24" s="96"/>
      <c r="L24" s="126"/>
      <c r="M24" s="127"/>
      <c r="N24" s="127"/>
      <c r="O24" s="128"/>
      <c r="P24" s="97"/>
      <c r="Q24" s="98"/>
      <c r="R24" s="98"/>
      <c r="S24" s="98"/>
      <c r="T24" s="98"/>
      <c r="U24" s="98"/>
      <c r="V24" s="99"/>
      <c r="W24" s="99"/>
      <c r="X24" s="99"/>
      <c r="Y24" s="99"/>
      <c r="Z24" s="99"/>
      <c r="AA24" s="99"/>
      <c r="AB24" s="100"/>
      <c r="AC24" s="101"/>
      <c r="AD24" s="102"/>
      <c r="AE24" s="102"/>
      <c r="AF24" s="102"/>
      <c r="AG24" s="102"/>
      <c r="AH24" s="103"/>
    </row>
    <row r="25" spans="1:34" x14ac:dyDescent="0.3">
      <c r="A25" s="107"/>
      <c r="B25" s="111"/>
      <c r="C25" s="112"/>
      <c r="D25" s="112"/>
      <c r="E25" s="112"/>
      <c r="F25" s="113"/>
      <c r="G25" s="94"/>
      <c r="H25" s="95"/>
      <c r="I25" s="96"/>
      <c r="J25" s="94"/>
      <c r="K25" s="96"/>
      <c r="L25" s="126"/>
      <c r="M25" s="127"/>
      <c r="N25" s="127"/>
      <c r="O25" s="128"/>
      <c r="P25" s="97" t="s">
        <v>145</v>
      </c>
      <c r="Q25" s="98"/>
      <c r="R25" s="98"/>
      <c r="S25" s="98"/>
      <c r="T25" s="104"/>
      <c r="U25" s="104"/>
      <c r="V25" s="104"/>
      <c r="W25" s="104"/>
      <c r="X25" s="104"/>
      <c r="Y25" s="104"/>
      <c r="Z25" s="104"/>
      <c r="AA25" s="104"/>
      <c r="AB25" s="105"/>
      <c r="AC25" s="21"/>
      <c r="AD25" s="21"/>
      <c r="AE25" s="21"/>
      <c r="AF25" s="21"/>
      <c r="AG25" s="21"/>
      <c r="AH25" s="22"/>
    </row>
    <row r="26" spans="1:34" x14ac:dyDescent="0.3">
      <c r="A26" s="107"/>
      <c r="B26" s="111"/>
      <c r="C26" s="112"/>
      <c r="D26" s="112"/>
      <c r="E26" s="112"/>
      <c r="F26" s="113"/>
      <c r="G26" s="94"/>
      <c r="H26" s="95"/>
      <c r="I26" s="96"/>
      <c r="J26" s="94"/>
      <c r="K26" s="96"/>
      <c r="L26" s="126"/>
      <c r="M26" s="127"/>
      <c r="N26" s="127"/>
      <c r="O26" s="128"/>
      <c r="P26" s="97"/>
      <c r="Q26" s="98"/>
      <c r="R26" s="98"/>
      <c r="S26" s="98"/>
      <c r="T26" s="104"/>
      <c r="U26" s="104"/>
      <c r="V26" s="104"/>
      <c r="W26" s="104"/>
      <c r="X26" s="104"/>
      <c r="Y26" s="104"/>
      <c r="Z26" s="104"/>
      <c r="AA26" s="104"/>
      <c r="AB26" s="105"/>
      <c r="AC26" s="21"/>
      <c r="AD26" s="21"/>
      <c r="AE26" s="21"/>
      <c r="AF26" s="21"/>
      <c r="AG26" s="21"/>
      <c r="AH26" s="22"/>
    </row>
    <row r="27" spans="1:34" x14ac:dyDescent="0.3">
      <c r="A27" s="92"/>
      <c r="B27" s="114"/>
      <c r="C27" s="115"/>
      <c r="D27" s="115"/>
      <c r="E27" s="115"/>
      <c r="F27" s="116"/>
      <c r="G27" s="120"/>
      <c r="H27" s="121"/>
      <c r="I27" s="122"/>
      <c r="J27" s="120"/>
      <c r="K27" s="122"/>
      <c r="L27" s="129"/>
      <c r="M27" s="130"/>
      <c r="N27" s="130"/>
      <c r="O27" s="131"/>
      <c r="P27" s="23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24"/>
      <c r="AB27" s="25"/>
      <c r="AC27" s="24"/>
      <c r="AD27" s="24"/>
      <c r="AE27" s="24"/>
      <c r="AF27" s="24"/>
      <c r="AG27" s="24"/>
      <c r="AH27" s="25"/>
    </row>
    <row r="28" spans="1:34" x14ac:dyDescent="0.3">
      <c r="A28" s="91" t="s">
        <v>187</v>
      </c>
      <c r="B28" s="91"/>
      <c r="C28" s="91"/>
      <c r="D28" s="91"/>
      <c r="E28" s="91"/>
      <c r="F28" s="91"/>
      <c r="G28" s="91" t="s">
        <v>186</v>
      </c>
      <c r="H28" s="91"/>
      <c r="I28" s="91"/>
      <c r="J28" s="92">
        <v>1</v>
      </c>
      <c r="K28" s="92"/>
      <c r="L28" s="93"/>
      <c r="M28" s="93"/>
      <c r="N28" s="93"/>
      <c r="O28" s="93"/>
    </row>
    <row r="48" spans="20:27" x14ac:dyDescent="0.3">
      <c r="T48" s="56" t="s">
        <v>325</v>
      </c>
      <c r="AA48" s="5" t="str">
        <f>Лист1!A40&amp;'Карточка ИП'!B15&amp;Лист1!A40</f>
        <v>/Антонов Д.Н./</v>
      </c>
    </row>
    <row r="49" spans="3:28" x14ac:dyDescent="0.3">
      <c r="C49" s="7"/>
      <c r="D49" s="7"/>
      <c r="E49" s="10"/>
      <c r="H49" s="2"/>
      <c r="I49" s="2"/>
      <c r="J49" s="7"/>
      <c r="K49" s="7"/>
      <c r="L49" s="7"/>
      <c r="T49" s="5" t="s">
        <v>144</v>
      </c>
    </row>
    <row r="52" spans="3:28" ht="15.6" x14ac:dyDescent="0.3">
      <c r="S52" s="1" t="s">
        <v>325</v>
      </c>
      <c r="AA52" s="5" t="str">
        <f>Лист1!A40&amp;'Данные Клиента Продавца и Авто'!B6&amp;Лист1!A40</f>
        <v>/Фамилия И.О./</v>
      </c>
      <c r="AB52" s="2"/>
    </row>
    <row r="53" spans="3:28" x14ac:dyDescent="0.3">
      <c r="C53" s="7"/>
      <c r="D53" s="7"/>
      <c r="E53" s="10"/>
      <c r="H53" s="2"/>
      <c r="I53" s="2"/>
      <c r="J53" s="7"/>
      <c r="K53" s="7"/>
      <c r="L53" s="7"/>
    </row>
    <row r="113" ht="15.75" customHeight="1" x14ac:dyDescent="0.3"/>
  </sheetData>
  <mergeCells count="26">
    <mergeCell ref="A1:AH1"/>
    <mergeCell ref="A2:AH2"/>
    <mergeCell ref="S3:T3"/>
    <mergeCell ref="V3:AA3"/>
    <mergeCell ref="A16:A18"/>
    <mergeCell ref="B16:F18"/>
    <mergeCell ref="G16:I18"/>
    <mergeCell ref="J16:K18"/>
    <mergeCell ref="L16:O18"/>
    <mergeCell ref="P16:AB18"/>
    <mergeCell ref="AC16:AH18"/>
    <mergeCell ref="AC23:AH24"/>
    <mergeCell ref="P25:S26"/>
    <mergeCell ref="T25:AB26"/>
    <mergeCell ref="A19:A27"/>
    <mergeCell ref="B19:F27"/>
    <mergeCell ref="G19:I27"/>
    <mergeCell ref="J19:K27"/>
    <mergeCell ref="L19:O27"/>
    <mergeCell ref="A28:F28"/>
    <mergeCell ref="G28:I28"/>
    <mergeCell ref="J28:K28"/>
    <mergeCell ref="L28:O28"/>
    <mergeCell ref="P21:AB22"/>
    <mergeCell ref="P23:U24"/>
    <mergeCell ref="V23:AB24"/>
  </mergeCells>
  <pageMargins left="0.20833333333333334" right="0.1875" top="0.40625" bottom="0.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7">
    <tabColor rgb="FF92D050"/>
  </sheetPr>
  <dimension ref="A1:AH41"/>
  <sheetViews>
    <sheetView view="pageLayout" zoomScaleNormal="100" workbookViewId="0">
      <selection activeCell="A26" sqref="A26:AH26"/>
    </sheetView>
  </sheetViews>
  <sheetFormatPr defaultColWidth="2.77734375" defaultRowHeight="14.4" x14ac:dyDescent="0.3"/>
  <cols>
    <col min="1" max="1" width="2.77734375" style="5"/>
    <col min="2" max="2" width="2.6640625" style="5" customWidth="1"/>
    <col min="3" max="16" width="2.77734375" style="5"/>
    <col min="17" max="17" width="2.6640625" style="5" customWidth="1"/>
    <col min="18" max="26" width="2.77734375" style="5"/>
    <col min="27" max="27" width="2.6640625" style="5" customWidth="1"/>
    <col min="28" max="33" width="2.77734375" style="5"/>
    <col min="34" max="34" width="3.88671875" style="5" customWidth="1"/>
    <col min="35" max="16384" width="2.77734375" style="5"/>
  </cols>
  <sheetData>
    <row r="1" spans="1:34" s="6" customFormat="1" ht="15.6" x14ac:dyDescent="0.3">
      <c r="M1" s="6" t="s">
        <v>206</v>
      </c>
      <c r="T1" s="87" t="str">
        <f>'Данные Клиента Продавца и Авто'!B3</f>
        <v>0810</v>
      </c>
      <c r="U1" s="87"/>
    </row>
    <row r="2" spans="1:34" x14ac:dyDescent="0.3">
      <c r="A2" s="5" t="str">
        <f>Лист1!A16&amp;Лист1!A48&amp;'Данные Клиента Продавца и Авто'!B2</f>
        <v>г. Екатеринбург</v>
      </c>
      <c r="P2" s="7"/>
      <c r="AC2" s="88" t="str">
        <f>'Данные Клиента Продавца и Авто'!B4&amp;Лист1!A48&amp;Лист1!A16</f>
        <v>19.09.2022 г.</v>
      </c>
      <c r="AD2" s="89"/>
      <c r="AE2" s="89"/>
      <c r="AF2" s="89"/>
      <c r="AG2" s="89"/>
      <c r="AH2" s="89"/>
    </row>
    <row r="3" spans="1:34" x14ac:dyDescent="0.3">
      <c r="P3" s="7"/>
      <c r="AC3" s="3"/>
      <c r="AD3" s="3"/>
      <c r="AE3" s="3"/>
      <c r="AF3" s="3"/>
      <c r="AG3" s="3"/>
      <c r="AH3" s="3"/>
    </row>
    <row r="4" spans="1:34" ht="15" customHeight="1" x14ac:dyDescent="0.3">
      <c r="A4" s="86" t="e">
        <f ca="1">Лист1!A107</f>
        <v>#NAME?</v>
      </c>
      <c r="B4" s="86"/>
      <c r="C4" s="86"/>
      <c r="D4" s="86"/>
      <c r="E4" s="86"/>
      <c r="F4" s="86"/>
      <c r="G4" s="86"/>
      <c r="H4" s="86"/>
      <c r="I4" s="86"/>
      <c r="J4" s="86"/>
      <c r="K4" s="86"/>
      <c r="L4" s="86"/>
      <c r="M4" s="86"/>
      <c r="N4" s="86"/>
      <c r="O4" s="86"/>
      <c r="P4" s="86"/>
      <c r="Q4" s="86"/>
      <c r="R4" s="86"/>
      <c r="S4" s="86"/>
      <c r="T4" s="86"/>
      <c r="U4" s="86"/>
      <c r="V4" s="86"/>
      <c r="W4" s="86"/>
      <c r="X4" s="86"/>
      <c r="Y4" s="86"/>
      <c r="Z4" s="86"/>
      <c r="AA4" s="86"/>
      <c r="AB4" s="86"/>
      <c r="AC4" s="86"/>
      <c r="AD4" s="86"/>
      <c r="AE4" s="86"/>
      <c r="AF4" s="86"/>
      <c r="AG4" s="86"/>
      <c r="AH4" s="86"/>
    </row>
    <row r="5" spans="1:34" x14ac:dyDescent="0.3">
      <c r="A5" s="86"/>
      <c r="B5" s="86"/>
      <c r="C5" s="86"/>
      <c r="D5" s="86"/>
      <c r="E5" s="86"/>
      <c r="F5" s="86"/>
      <c r="G5" s="86"/>
      <c r="H5" s="86"/>
      <c r="I5" s="86"/>
      <c r="J5" s="86"/>
      <c r="K5" s="86"/>
      <c r="L5" s="86"/>
      <c r="M5" s="86"/>
      <c r="N5" s="86"/>
      <c r="O5" s="86"/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</row>
    <row r="6" spans="1:34" ht="15" customHeight="1" x14ac:dyDescent="0.3">
      <c r="A6" s="86"/>
      <c r="B6" s="86"/>
      <c r="C6" s="86"/>
      <c r="D6" s="86"/>
      <c r="E6" s="86"/>
      <c r="F6" s="86"/>
      <c r="G6" s="86"/>
      <c r="H6" s="86"/>
      <c r="I6" s="86"/>
      <c r="J6" s="86"/>
      <c r="K6" s="86"/>
      <c r="L6" s="86"/>
      <c r="M6" s="86"/>
      <c r="N6" s="86"/>
      <c r="O6" s="86"/>
      <c r="P6" s="86"/>
      <c r="Q6" s="86"/>
      <c r="R6" s="86"/>
      <c r="S6" s="86"/>
      <c r="T6" s="86"/>
      <c r="U6" s="86"/>
      <c r="V6" s="86"/>
      <c r="W6" s="86"/>
      <c r="X6" s="86"/>
      <c r="Y6" s="86"/>
      <c r="Z6" s="86"/>
      <c r="AA6" s="86"/>
      <c r="AB6" s="86"/>
      <c r="AC6" s="86"/>
      <c r="AD6" s="86"/>
      <c r="AE6" s="86"/>
      <c r="AF6" s="86"/>
      <c r="AG6" s="86"/>
      <c r="AH6" s="86"/>
    </row>
    <row r="7" spans="1:34" x14ac:dyDescent="0.3">
      <c r="A7" s="86"/>
      <c r="B7" s="86"/>
      <c r="C7" s="86"/>
      <c r="D7" s="86"/>
      <c r="E7" s="86"/>
      <c r="F7" s="86"/>
      <c r="G7" s="86"/>
      <c r="H7" s="86"/>
      <c r="I7" s="86"/>
      <c r="J7" s="86"/>
      <c r="K7" s="86"/>
      <c r="L7" s="86"/>
      <c r="M7" s="86"/>
      <c r="N7" s="86"/>
      <c r="O7" s="86"/>
      <c r="P7" s="86"/>
      <c r="Q7" s="86"/>
      <c r="R7" s="86"/>
      <c r="S7" s="86"/>
      <c r="T7" s="86"/>
      <c r="U7" s="86"/>
      <c r="V7" s="86"/>
      <c r="W7" s="86"/>
      <c r="X7" s="86"/>
      <c r="Y7" s="86"/>
      <c r="Z7" s="86"/>
      <c r="AA7" s="86"/>
      <c r="AB7" s="86"/>
      <c r="AC7" s="86"/>
      <c r="AD7" s="86"/>
      <c r="AE7" s="86"/>
      <c r="AF7" s="86"/>
      <c r="AG7" s="86"/>
      <c r="AH7" s="86"/>
    </row>
    <row r="8" spans="1:34" x14ac:dyDescent="0.3">
      <c r="A8" s="86"/>
      <c r="B8" s="86"/>
      <c r="C8" s="86"/>
      <c r="D8" s="86"/>
      <c r="E8" s="86"/>
      <c r="F8" s="86"/>
      <c r="G8" s="86"/>
      <c r="H8" s="86"/>
      <c r="I8" s="86"/>
      <c r="J8" s="86"/>
      <c r="K8" s="86"/>
      <c r="L8" s="86"/>
      <c r="M8" s="86"/>
      <c r="N8" s="86"/>
      <c r="O8" s="86"/>
      <c r="P8" s="86"/>
      <c r="Q8" s="86"/>
      <c r="R8" s="86"/>
      <c r="S8" s="86"/>
      <c r="T8" s="86"/>
      <c r="U8" s="86"/>
      <c r="V8" s="86"/>
      <c r="W8" s="86"/>
      <c r="X8" s="86"/>
      <c r="Y8" s="86"/>
      <c r="Z8" s="86"/>
      <c r="AA8" s="86"/>
      <c r="AB8" s="86"/>
      <c r="AC8" s="86"/>
      <c r="AD8" s="86"/>
      <c r="AE8" s="86"/>
      <c r="AF8" s="86"/>
      <c r="AG8" s="86"/>
      <c r="AH8" s="86"/>
    </row>
    <row r="9" spans="1:34" x14ac:dyDescent="0.3">
      <c r="A9" s="86"/>
      <c r="B9" s="86"/>
      <c r="C9" s="86"/>
      <c r="D9" s="86"/>
      <c r="E9" s="86"/>
      <c r="F9" s="86"/>
      <c r="G9" s="86"/>
      <c r="H9" s="86"/>
      <c r="I9" s="86"/>
      <c r="J9" s="86"/>
      <c r="K9" s="86"/>
      <c r="L9" s="86"/>
      <c r="M9" s="86"/>
      <c r="N9" s="86"/>
      <c r="O9" s="86"/>
      <c r="P9" s="86"/>
      <c r="Q9" s="86"/>
      <c r="R9" s="86"/>
      <c r="S9" s="86"/>
      <c r="T9" s="86"/>
      <c r="U9" s="86"/>
      <c r="V9" s="86"/>
      <c r="W9" s="86"/>
      <c r="X9" s="86"/>
      <c r="Y9" s="86"/>
      <c r="Z9" s="86"/>
      <c r="AA9" s="86"/>
      <c r="AB9" s="86"/>
      <c r="AC9" s="86"/>
      <c r="AD9" s="86"/>
      <c r="AE9" s="86"/>
      <c r="AF9" s="86"/>
      <c r="AG9" s="86"/>
      <c r="AH9" s="86"/>
    </row>
    <row r="10" spans="1:34" x14ac:dyDescent="0.3">
      <c r="A10" s="86"/>
      <c r="B10" s="86"/>
      <c r="C10" s="86"/>
      <c r="D10" s="86"/>
      <c r="E10" s="86"/>
      <c r="F10" s="86"/>
      <c r="G10" s="86"/>
      <c r="H10" s="86"/>
      <c r="I10" s="86"/>
      <c r="J10" s="86"/>
      <c r="K10" s="86"/>
      <c r="L10" s="86"/>
      <c r="M10" s="86"/>
      <c r="N10" s="86"/>
      <c r="O10" s="86"/>
      <c r="P10" s="86"/>
      <c r="Q10" s="86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AF10" s="86"/>
      <c r="AG10" s="86"/>
      <c r="AH10" s="86"/>
    </row>
    <row r="11" spans="1:34" x14ac:dyDescent="0.3">
      <c r="A11" s="86"/>
      <c r="B11" s="86"/>
      <c r="C11" s="86"/>
      <c r="D11" s="86"/>
      <c r="E11" s="86"/>
      <c r="F11" s="86"/>
      <c r="G11" s="86"/>
      <c r="H11" s="86"/>
      <c r="I11" s="86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6"/>
      <c r="X11" s="86"/>
      <c r="Y11" s="86"/>
      <c r="Z11" s="86"/>
      <c r="AA11" s="86"/>
      <c r="AB11" s="86"/>
      <c r="AC11" s="86"/>
      <c r="AD11" s="86"/>
      <c r="AE11" s="86"/>
      <c r="AF11" s="86"/>
      <c r="AG11" s="86"/>
      <c r="AH11" s="86"/>
    </row>
    <row r="12" spans="1:34" x14ac:dyDescent="0.3">
      <c r="A12" s="83" t="str">
        <f>'Акт приёма-передачи'!A15</f>
        <v xml:space="preserve">Идентификационный номер (VIN): </v>
      </c>
      <c r="B12" s="83"/>
      <c r="C12" s="83"/>
      <c r="D12" s="83"/>
      <c r="E12" s="83"/>
      <c r="F12" s="83"/>
      <c r="G12" s="83"/>
      <c r="H12" s="83"/>
      <c r="I12" s="83"/>
      <c r="J12" s="83"/>
      <c r="K12" s="83"/>
      <c r="L12" s="83"/>
      <c r="M12" s="83"/>
      <c r="N12" s="83"/>
      <c r="O12" s="83"/>
      <c r="P12" s="83"/>
      <c r="Q12" s="84" t="str">
        <f>'Акт приёма-передачи'!Q15</f>
        <v>VIN</v>
      </c>
      <c r="R12" s="84"/>
      <c r="S12" s="84"/>
      <c r="T12" s="84"/>
      <c r="U12" s="84"/>
      <c r="V12" s="84"/>
      <c r="W12" s="84"/>
      <c r="X12" s="84"/>
      <c r="Y12" s="84"/>
      <c r="Z12" s="84"/>
      <c r="AA12" s="84"/>
      <c r="AB12" s="84"/>
      <c r="AC12" s="84"/>
      <c r="AD12" s="84"/>
      <c r="AE12" s="84"/>
      <c r="AF12" s="84"/>
      <c r="AG12" s="84"/>
      <c r="AH12" s="84"/>
    </row>
    <row r="13" spans="1:34" x14ac:dyDescent="0.3">
      <c r="A13" s="83" t="str">
        <f>'Акт приёма-передачи'!A16</f>
        <v>Марка, модель:</v>
      </c>
      <c r="B13" s="83"/>
      <c r="C13" s="83"/>
      <c r="D13" s="83"/>
      <c r="E13" s="83"/>
      <c r="F13" s="83"/>
      <c r="G13" s="83"/>
      <c r="H13" s="83"/>
      <c r="I13" s="83"/>
      <c r="J13" s="83"/>
      <c r="K13" s="83"/>
      <c r="L13" s="83"/>
      <c r="M13" s="83"/>
      <c r="N13" s="83"/>
      <c r="O13" s="83"/>
      <c r="P13" s="83"/>
      <c r="Q13" s="84" t="str">
        <f>'Акт приёма-передачи'!Q16</f>
        <v>Марка, модель</v>
      </c>
      <c r="R13" s="84"/>
      <c r="S13" s="84"/>
      <c r="T13" s="84"/>
      <c r="U13" s="84"/>
      <c r="V13" s="84"/>
      <c r="W13" s="84"/>
      <c r="X13" s="84"/>
      <c r="Y13" s="84"/>
      <c r="Z13" s="84"/>
      <c r="AA13" s="84"/>
      <c r="AB13" s="84"/>
      <c r="AC13" s="84"/>
      <c r="AD13" s="84"/>
      <c r="AE13" s="84"/>
      <c r="AF13" s="84"/>
      <c r="AG13" s="84"/>
      <c r="AH13" s="84"/>
    </row>
    <row r="14" spans="1:34" x14ac:dyDescent="0.3">
      <c r="A14" s="83" t="str">
        <f>'Акт приёма-передачи'!A17</f>
        <v xml:space="preserve">Наименование (тип ТС): </v>
      </c>
      <c r="B14" s="83"/>
      <c r="C14" s="83"/>
      <c r="D14" s="83"/>
      <c r="E14" s="83"/>
      <c r="F14" s="83"/>
      <c r="G14" s="83"/>
      <c r="H14" s="83"/>
      <c r="I14" s="83"/>
      <c r="J14" s="83"/>
      <c r="K14" s="83"/>
      <c r="L14" s="83"/>
      <c r="M14" s="83"/>
      <c r="N14" s="83"/>
      <c r="O14" s="83"/>
      <c r="P14" s="83"/>
      <c r="Q14" s="84" t="str">
        <f>'Акт приёма-передачи'!Q17</f>
        <v xml:space="preserve">легковой </v>
      </c>
      <c r="R14" s="84"/>
      <c r="S14" s="84"/>
      <c r="T14" s="84"/>
      <c r="U14" s="84"/>
      <c r="V14" s="84"/>
      <c r="W14" s="84"/>
      <c r="X14" s="84"/>
      <c r="Y14" s="84"/>
      <c r="Z14" s="84"/>
      <c r="AA14" s="84"/>
      <c r="AB14" s="84"/>
      <c r="AC14" s="84"/>
      <c r="AD14" s="84"/>
      <c r="AE14" s="84"/>
      <c r="AF14" s="84"/>
      <c r="AG14" s="84"/>
      <c r="AH14" s="84"/>
    </row>
    <row r="15" spans="1:34" x14ac:dyDescent="0.3">
      <c r="A15" s="83" t="str">
        <f>'Акт приёма-передачи'!A18</f>
        <v>Категория ТС (A, B, C, D, прицеп):</v>
      </c>
      <c r="B15" s="83"/>
      <c r="C15" s="83"/>
      <c r="D15" s="83"/>
      <c r="E15" s="83"/>
      <c r="F15" s="83"/>
      <c r="G15" s="83"/>
      <c r="H15" s="83"/>
      <c r="I15" s="83"/>
      <c r="J15" s="83"/>
      <c r="K15" s="83"/>
      <c r="L15" s="83"/>
      <c r="M15" s="83"/>
      <c r="N15" s="83"/>
      <c r="O15" s="83"/>
      <c r="P15" s="83"/>
      <c r="Q15" s="84" t="str">
        <f>'Акт приёма-передачи'!Q18</f>
        <v>В</v>
      </c>
      <c r="R15" s="84"/>
      <c r="S15" s="84"/>
      <c r="T15" s="84"/>
      <c r="U15" s="84"/>
      <c r="V15" s="84"/>
      <c r="W15" s="84"/>
      <c r="X15" s="84"/>
      <c r="Y15" s="84"/>
      <c r="Z15" s="84"/>
      <c r="AA15" s="84"/>
      <c r="AB15" s="84"/>
      <c r="AC15" s="84"/>
      <c r="AD15" s="84"/>
      <c r="AE15" s="84"/>
      <c r="AF15" s="84"/>
      <c r="AG15" s="84"/>
      <c r="AH15" s="84"/>
    </row>
    <row r="16" spans="1:34" x14ac:dyDescent="0.3">
      <c r="A16" s="83" t="str">
        <f>'Акт приёма-передачи'!A19</f>
        <v>Год изготовления ТС:</v>
      </c>
      <c r="B16" s="83"/>
      <c r="C16" s="83"/>
      <c r="D16" s="83"/>
      <c r="E16" s="83"/>
      <c r="F16" s="83"/>
      <c r="G16" s="83"/>
      <c r="H16" s="83"/>
      <c r="I16" s="83"/>
      <c r="J16" s="83"/>
      <c r="K16" s="83"/>
      <c r="L16" s="83"/>
      <c r="M16" s="83"/>
      <c r="N16" s="83"/>
      <c r="O16" s="83"/>
      <c r="P16" s="83"/>
      <c r="Q16" s="84" t="str">
        <f>'Акт приёма-передачи'!Q19</f>
        <v>гггг</v>
      </c>
      <c r="R16" s="84"/>
      <c r="S16" s="84"/>
      <c r="T16" s="84"/>
      <c r="U16" s="84"/>
      <c r="V16" s="84"/>
      <c r="W16" s="84"/>
      <c r="X16" s="84"/>
      <c r="Y16" s="84"/>
      <c r="Z16" s="84"/>
      <c r="AA16" s="84"/>
      <c r="AB16" s="84"/>
      <c r="AC16" s="84"/>
      <c r="AD16" s="84"/>
      <c r="AE16" s="84"/>
      <c r="AF16" s="84"/>
      <c r="AG16" s="84"/>
      <c r="AH16" s="84"/>
    </row>
    <row r="17" spans="1:34" x14ac:dyDescent="0.3">
      <c r="A17" s="83" t="str">
        <f>'Акт приёма-передачи'!A20</f>
        <v>Шасси (рама):</v>
      </c>
      <c r="B17" s="83"/>
      <c r="C17" s="83"/>
      <c r="D17" s="83"/>
      <c r="E17" s="83"/>
      <c r="F17" s="83"/>
      <c r="G17" s="83"/>
      <c r="H17" s="83"/>
      <c r="I17" s="83"/>
      <c r="J17" s="83"/>
      <c r="K17" s="83"/>
      <c r="L17" s="83"/>
      <c r="M17" s="83"/>
      <c r="N17" s="83"/>
      <c r="O17" s="83"/>
      <c r="P17" s="83"/>
      <c r="Q17" s="84" t="str">
        <f>'Акт приёма-передачи'!Q20</f>
        <v>отсутствует</v>
      </c>
      <c r="R17" s="84"/>
      <c r="S17" s="84"/>
      <c r="T17" s="84"/>
      <c r="U17" s="84"/>
      <c r="V17" s="84"/>
      <c r="W17" s="84"/>
      <c r="X17" s="84"/>
      <c r="Y17" s="84"/>
      <c r="Z17" s="84"/>
      <c r="AA17" s="84"/>
      <c r="AB17" s="84"/>
      <c r="AC17" s="84"/>
      <c r="AD17" s="84"/>
      <c r="AE17" s="84"/>
      <c r="AF17" s="84"/>
      <c r="AG17" s="84"/>
      <c r="AH17" s="84"/>
    </row>
    <row r="18" spans="1:34" x14ac:dyDescent="0.3">
      <c r="A18" s="83" t="str">
        <f>'Акт приёма-передачи'!A21</f>
        <v>Кузов (кабина, прицеп):</v>
      </c>
      <c r="B18" s="83"/>
      <c r="C18" s="83"/>
      <c r="D18" s="83"/>
      <c r="E18" s="83"/>
      <c r="F18" s="83"/>
      <c r="G18" s="83"/>
      <c r="H18" s="83"/>
      <c r="I18" s="83"/>
      <c r="J18" s="83"/>
      <c r="K18" s="83"/>
      <c r="L18" s="83"/>
      <c r="M18" s="83"/>
      <c r="N18" s="83"/>
      <c r="O18" s="83"/>
      <c r="P18" s="83"/>
      <c r="Q18" s="84" t="str">
        <f>'Акт приёма-передачи'!Q21</f>
        <v>VIN</v>
      </c>
      <c r="R18" s="84"/>
      <c r="S18" s="84"/>
      <c r="T18" s="84"/>
      <c r="U18" s="84"/>
      <c r="V18" s="84"/>
      <c r="W18" s="84"/>
      <c r="X18" s="84"/>
      <c r="Y18" s="84"/>
      <c r="Z18" s="84"/>
      <c r="AA18" s="84"/>
      <c r="AB18" s="84"/>
      <c r="AC18" s="84"/>
      <c r="AD18" s="84"/>
      <c r="AE18" s="84"/>
      <c r="AF18" s="84"/>
      <c r="AG18" s="84"/>
      <c r="AH18" s="84"/>
    </row>
    <row r="19" spans="1:34" x14ac:dyDescent="0.3">
      <c r="A19" s="83" t="str">
        <f>'Акт приёма-передачи'!A22</f>
        <v>Цвет кузова (кабины, прицепа):</v>
      </c>
      <c r="B19" s="83"/>
      <c r="C19" s="83"/>
      <c r="D19" s="83"/>
      <c r="E19" s="83"/>
      <c r="F19" s="83"/>
      <c r="G19" s="83"/>
      <c r="H19" s="83"/>
      <c r="I19" s="83"/>
      <c r="J19" s="83"/>
      <c r="K19" s="83"/>
      <c r="L19" s="83"/>
      <c r="M19" s="83"/>
      <c r="N19" s="83"/>
      <c r="O19" s="83"/>
      <c r="P19" s="83"/>
      <c r="Q19" s="84" t="str">
        <f>'Акт приёма-передачи'!Q22</f>
        <v>Цвет авто как в ПТС</v>
      </c>
      <c r="R19" s="84"/>
      <c r="S19" s="84"/>
      <c r="T19" s="84"/>
      <c r="U19" s="84"/>
      <c r="V19" s="84"/>
      <c r="W19" s="84"/>
      <c r="X19" s="84"/>
      <c r="Y19" s="84"/>
      <c r="Z19" s="84"/>
      <c r="AA19" s="84"/>
      <c r="AB19" s="84"/>
      <c r="AC19" s="84"/>
      <c r="AD19" s="84"/>
      <c r="AE19" s="84"/>
      <c r="AF19" s="84"/>
      <c r="AG19" s="84"/>
      <c r="AH19" s="84"/>
    </row>
    <row r="20" spans="1:34" x14ac:dyDescent="0.3">
      <c r="A20" s="85" t="str">
        <f>'Акт приёма-передачи'!A23</f>
        <v>Паспорт ТС / Электронный ПТС / Св-во регистрации ТС (серия, номер, кем выдан, дата выдачи):</v>
      </c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 t="str">
        <f>'Акт приёма-передачи'!Q23</f>
        <v>77 УО 666029 Центральная акцизная таможня 12.07.2017</v>
      </c>
      <c r="R20" s="85"/>
      <c r="S20" s="85"/>
      <c r="T20" s="85"/>
      <c r="U20" s="85"/>
      <c r="V20" s="85"/>
      <c r="W20" s="85"/>
      <c r="X20" s="85"/>
      <c r="Y20" s="85"/>
      <c r="Z20" s="85"/>
      <c r="AA20" s="85"/>
      <c r="AB20" s="85"/>
      <c r="AC20" s="85"/>
      <c r="AD20" s="85"/>
      <c r="AE20" s="85"/>
      <c r="AF20" s="85"/>
      <c r="AG20" s="85"/>
      <c r="AH20" s="85"/>
    </row>
    <row r="21" spans="1:34" x14ac:dyDescent="0.3">
      <c r="A21" s="85"/>
      <c r="B21" s="85"/>
      <c r="C21" s="85"/>
      <c r="D21" s="85"/>
      <c r="E21" s="8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  <c r="S21" s="85"/>
      <c r="T21" s="85"/>
      <c r="U21" s="85"/>
      <c r="V21" s="85"/>
      <c r="W21" s="85"/>
      <c r="X21" s="85"/>
      <c r="Y21" s="85"/>
      <c r="Z21" s="85"/>
      <c r="AA21" s="85"/>
      <c r="AB21" s="85"/>
      <c r="AC21" s="85"/>
      <c r="AD21" s="85"/>
      <c r="AE21" s="85"/>
      <c r="AF21" s="85"/>
      <c r="AG21" s="85"/>
      <c r="AH21" s="85"/>
    </row>
    <row r="22" spans="1:34" x14ac:dyDescent="0.3">
      <c r="A22" s="5" t="s">
        <v>209</v>
      </c>
    </row>
    <row r="23" spans="1:34" x14ac:dyDescent="0.3">
      <c r="A23" s="5" t="s">
        <v>210</v>
      </c>
    </row>
    <row r="24" spans="1:34" x14ac:dyDescent="0.3">
      <c r="A24" s="5" t="s">
        <v>211</v>
      </c>
    </row>
    <row r="25" spans="1:34" x14ac:dyDescent="0.3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</row>
    <row r="26" spans="1:34" x14ac:dyDescent="0.3">
      <c r="A26" s="89" t="s">
        <v>419</v>
      </c>
      <c r="B26" s="89"/>
      <c r="C26" s="89"/>
      <c r="D26" s="89"/>
      <c r="E26" s="89"/>
      <c r="F26" s="89"/>
      <c r="G26" s="89"/>
      <c r="H26" s="89"/>
      <c r="I26" s="89"/>
      <c r="J26" s="89"/>
      <c r="K26" s="89"/>
      <c r="L26" s="89"/>
      <c r="M26" s="89"/>
      <c r="N26" s="89"/>
      <c r="O26" s="89"/>
      <c r="P26" s="89"/>
      <c r="Q26" s="89"/>
      <c r="R26" s="89"/>
      <c r="S26" s="89"/>
      <c r="T26" s="89"/>
      <c r="U26" s="89"/>
      <c r="V26" s="89"/>
      <c r="W26" s="89"/>
      <c r="X26" s="89"/>
      <c r="Y26" s="89"/>
      <c r="Z26" s="89"/>
      <c r="AA26" s="89"/>
      <c r="AB26" s="89"/>
      <c r="AC26" s="89"/>
      <c r="AD26" s="89"/>
      <c r="AE26" s="89"/>
      <c r="AF26" s="89"/>
      <c r="AG26" s="89"/>
      <c r="AH26" s="89"/>
    </row>
    <row r="27" spans="1:34" x14ac:dyDescent="0.3">
      <c r="A27" s="2"/>
      <c r="B27" s="2"/>
      <c r="C27" s="2"/>
      <c r="D27" s="2"/>
      <c r="E27" s="2"/>
      <c r="F27" s="2"/>
      <c r="G27" s="2"/>
      <c r="H27" s="2"/>
      <c r="I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</row>
    <row r="28" spans="1:34" x14ac:dyDescent="0.3">
      <c r="A28" s="2" t="s">
        <v>212</v>
      </c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</row>
    <row r="29" spans="1:34" x14ac:dyDescent="0.3">
      <c r="A29" s="8"/>
    </row>
    <row r="30" spans="1:34" x14ac:dyDescent="0.3">
      <c r="A30" s="81" t="s">
        <v>214</v>
      </c>
      <c r="B30" s="81"/>
      <c r="C30" s="81"/>
      <c r="D30" s="81"/>
      <c r="E30" s="81"/>
      <c r="F30" s="81"/>
      <c r="G30" s="81"/>
      <c r="H30" s="81"/>
      <c r="I30" s="81"/>
      <c r="J30" s="81"/>
      <c r="K30" s="81"/>
      <c r="L30" s="81"/>
      <c r="M30" s="81"/>
      <c r="N30" s="81"/>
      <c r="O30" s="81"/>
      <c r="P30" s="81"/>
      <c r="Q30" s="81"/>
      <c r="R30" s="81"/>
      <c r="S30" s="81"/>
      <c r="T30" s="81"/>
      <c r="U30" s="81"/>
      <c r="V30" s="81"/>
      <c r="W30" s="81"/>
      <c r="X30" s="81"/>
      <c r="Y30" s="81"/>
      <c r="Z30" s="81"/>
      <c r="AA30" s="81"/>
      <c r="AB30" s="81"/>
      <c r="AC30" s="81"/>
      <c r="AD30" s="81"/>
      <c r="AE30" s="81"/>
      <c r="AF30" s="81"/>
      <c r="AG30" s="81"/>
      <c r="AH30" s="81"/>
    </row>
    <row r="31" spans="1:34" x14ac:dyDescent="0.3">
      <c r="A31" s="81" t="s">
        <v>213</v>
      </c>
      <c r="B31" s="81"/>
      <c r="C31" s="81"/>
      <c r="D31" s="81"/>
      <c r="E31" s="81"/>
      <c r="F31" s="81"/>
      <c r="G31" s="81"/>
      <c r="H31" s="81"/>
      <c r="I31" s="81"/>
      <c r="J31" s="81"/>
      <c r="K31" s="81"/>
      <c r="L31" s="81"/>
      <c r="M31" s="81"/>
      <c r="N31" s="81"/>
      <c r="O31" s="81"/>
      <c r="P31" s="81"/>
      <c r="Q31" s="81"/>
      <c r="R31" s="81"/>
      <c r="S31" s="81"/>
      <c r="T31" s="81"/>
      <c r="U31" s="81"/>
      <c r="V31" s="81"/>
      <c r="W31" s="81"/>
      <c r="X31" s="81"/>
      <c r="Y31" s="81"/>
      <c r="Z31" s="81"/>
      <c r="AA31" s="81"/>
      <c r="AB31" s="81"/>
      <c r="AC31" s="81"/>
      <c r="AD31" s="81"/>
      <c r="AE31" s="81"/>
      <c r="AF31" s="81"/>
      <c r="AG31" s="81"/>
      <c r="AH31" s="81"/>
    </row>
    <row r="38" spans="1:1" x14ac:dyDescent="0.3">
      <c r="A38" s="9"/>
    </row>
    <row r="39" spans="1:1" x14ac:dyDescent="0.3">
      <c r="A39" s="9"/>
    </row>
    <row r="40" spans="1:1" x14ac:dyDescent="0.3">
      <c r="A40" s="9"/>
    </row>
    <row r="41" spans="1:1" x14ac:dyDescent="0.3">
      <c r="A41" s="9"/>
    </row>
  </sheetData>
  <mergeCells count="24">
    <mergeCell ref="A26:AH26"/>
    <mergeCell ref="A30:AH30"/>
    <mergeCell ref="A31:AH31"/>
    <mergeCell ref="T1:U1"/>
    <mergeCell ref="AC2:AH2"/>
    <mergeCell ref="A12:P12"/>
    <mergeCell ref="Q12:AH12"/>
    <mergeCell ref="A13:P13"/>
    <mergeCell ref="A4:AH11"/>
    <mergeCell ref="A19:P19"/>
    <mergeCell ref="Q19:AH19"/>
    <mergeCell ref="A20:P21"/>
    <mergeCell ref="Q20:AH21"/>
    <mergeCell ref="A16:P16"/>
    <mergeCell ref="Q16:AH16"/>
    <mergeCell ref="A17:P17"/>
    <mergeCell ref="Q17:AH17"/>
    <mergeCell ref="A18:P18"/>
    <mergeCell ref="Q18:AH18"/>
    <mergeCell ref="Q13:AH13"/>
    <mergeCell ref="A14:P14"/>
    <mergeCell ref="Q14:AH14"/>
    <mergeCell ref="A15:P15"/>
    <mergeCell ref="Q15:AH15"/>
  </mergeCells>
  <pageMargins left="0.27083333333333331" right="0.30208333333333331" top="0.40625" bottom="0.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8">
    <tabColor theme="5"/>
  </sheetPr>
  <dimension ref="A1:AI38"/>
  <sheetViews>
    <sheetView view="pageLayout" topLeftCell="A7" zoomScaleNormal="100" workbookViewId="0">
      <selection activeCell="X27" sqref="X27:AC27"/>
    </sheetView>
  </sheetViews>
  <sheetFormatPr defaultColWidth="2.77734375" defaultRowHeight="14.4" x14ac:dyDescent="0.3"/>
  <cols>
    <col min="1" max="16384" width="2.77734375" style="54"/>
  </cols>
  <sheetData>
    <row r="1" spans="1:34" s="6" customFormat="1" ht="31.2" x14ac:dyDescent="0.6">
      <c r="A1" s="135" t="s">
        <v>266</v>
      </c>
      <c r="B1" s="135"/>
      <c r="C1" s="135"/>
      <c r="D1" s="135"/>
      <c r="E1" s="135"/>
      <c r="F1" s="135"/>
      <c r="G1" s="135"/>
      <c r="H1" s="135"/>
      <c r="I1" s="135"/>
      <c r="J1" s="135"/>
      <c r="K1" s="135"/>
      <c r="L1" s="135"/>
      <c r="M1" s="135"/>
      <c r="N1" s="135"/>
      <c r="O1" s="135"/>
      <c r="P1" s="135"/>
      <c r="Q1" s="135"/>
      <c r="R1" s="135"/>
      <c r="S1" s="135"/>
      <c r="T1" s="135"/>
      <c r="U1" s="135"/>
      <c r="V1" s="135"/>
      <c r="W1" s="135"/>
      <c r="X1" s="135"/>
      <c r="Y1" s="135"/>
      <c r="Z1" s="135"/>
      <c r="AA1" s="135"/>
      <c r="AB1" s="135"/>
      <c r="AC1" s="135"/>
      <c r="AD1" s="135"/>
      <c r="AE1" s="135"/>
      <c r="AF1" s="135"/>
      <c r="AG1" s="135"/>
      <c r="AH1" s="135"/>
    </row>
    <row r="2" spans="1:34" ht="31.2" x14ac:dyDescent="0.6">
      <c r="A2" s="135" t="s">
        <v>352</v>
      </c>
      <c r="B2" s="135"/>
      <c r="C2" s="135"/>
      <c r="D2" s="135"/>
      <c r="E2" s="135"/>
      <c r="F2" s="135"/>
      <c r="G2" s="135"/>
      <c r="H2" s="135"/>
      <c r="I2" s="135"/>
      <c r="J2" s="135"/>
      <c r="K2" s="135"/>
      <c r="L2" s="135"/>
      <c r="M2" s="135"/>
      <c r="N2" s="135"/>
      <c r="O2" s="135"/>
      <c r="P2" s="135"/>
      <c r="Q2" s="135"/>
      <c r="R2" s="135"/>
      <c r="S2" s="135"/>
      <c r="T2" s="135"/>
      <c r="U2" s="135"/>
      <c r="V2" s="135"/>
      <c r="W2" s="135"/>
      <c r="X2" s="135"/>
      <c r="Y2" s="135"/>
      <c r="Z2" s="135"/>
      <c r="AA2" s="135"/>
      <c r="AB2" s="135"/>
      <c r="AC2" s="135"/>
      <c r="AD2" s="135"/>
      <c r="AE2" s="135"/>
      <c r="AF2" s="135"/>
      <c r="AG2" s="135"/>
      <c r="AH2" s="135"/>
    </row>
    <row r="3" spans="1:34" x14ac:dyDescent="0.3">
      <c r="A3" s="134" t="s">
        <v>353</v>
      </c>
      <c r="B3" s="134"/>
      <c r="C3" s="134"/>
      <c r="D3" s="134"/>
      <c r="E3" s="134"/>
      <c r="F3" s="134"/>
      <c r="G3" s="134"/>
      <c r="H3" s="134"/>
      <c r="I3" s="134"/>
      <c r="J3" s="134"/>
      <c r="K3" s="134"/>
      <c r="L3" s="134"/>
      <c r="M3" s="134"/>
      <c r="N3" s="134"/>
      <c r="O3" s="134"/>
      <c r="P3" s="134"/>
      <c r="Q3" s="134"/>
      <c r="R3" s="134"/>
      <c r="S3" s="134"/>
      <c r="T3" s="134"/>
      <c r="U3" s="134"/>
      <c r="V3" s="134"/>
      <c r="W3" s="134"/>
      <c r="X3" s="134"/>
      <c r="Y3" s="134"/>
      <c r="Z3" s="134"/>
      <c r="AA3" s="134"/>
      <c r="AB3" s="134"/>
      <c r="AC3" s="134"/>
      <c r="AD3" s="134"/>
      <c r="AE3" s="134"/>
      <c r="AF3" s="134"/>
      <c r="AG3" s="134"/>
      <c r="AH3" s="134"/>
    </row>
    <row r="4" spans="1:34" x14ac:dyDescent="0.3">
      <c r="A4" s="134" t="s">
        <v>354</v>
      </c>
      <c r="B4" s="134"/>
      <c r="C4" s="134"/>
      <c r="D4" s="134"/>
      <c r="E4" s="134"/>
      <c r="F4" s="134"/>
      <c r="G4" s="134"/>
      <c r="H4" s="134"/>
      <c r="I4" s="134"/>
      <c r="J4" s="134"/>
      <c r="K4" s="134"/>
      <c r="L4" s="134"/>
      <c r="M4" s="134"/>
      <c r="N4" s="134"/>
      <c r="O4" s="134"/>
      <c r="P4" s="134"/>
      <c r="Q4" s="134"/>
      <c r="R4" s="134"/>
      <c r="S4" s="134"/>
      <c r="T4" s="134"/>
      <c r="U4" s="134"/>
      <c r="V4" s="134"/>
      <c r="W4" s="134"/>
      <c r="X4" s="134"/>
      <c r="Y4" s="134"/>
      <c r="Z4" s="134"/>
      <c r="AA4" s="134"/>
      <c r="AB4" s="134"/>
      <c r="AC4" s="134"/>
      <c r="AD4" s="134"/>
      <c r="AE4" s="134"/>
      <c r="AF4" s="134"/>
      <c r="AG4" s="134"/>
      <c r="AH4" s="134"/>
    </row>
    <row r="5" spans="1:34" x14ac:dyDescent="0.3">
      <c r="A5" s="134" t="s">
        <v>355</v>
      </c>
      <c r="B5" s="134"/>
      <c r="C5" s="134"/>
      <c r="D5" s="134"/>
      <c r="E5" s="134"/>
      <c r="F5" s="134"/>
      <c r="G5" s="134"/>
      <c r="H5" s="134"/>
      <c r="I5" s="134"/>
      <c r="J5" s="134"/>
      <c r="K5" s="134"/>
      <c r="L5" s="134"/>
      <c r="M5" s="134"/>
      <c r="N5" s="134"/>
      <c r="O5" s="134"/>
      <c r="P5" s="134"/>
      <c r="Q5" s="134"/>
      <c r="R5" s="134"/>
      <c r="S5" s="134"/>
      <c r="T5" s="134"/>
      <c r="U5" s="134"/>
      <c r="V5" s="134"/>
      <c r="W5" s="134"/>
      <c r="X5" s="134"/>
      <c r="Y5" s="134"/>
      <c r="Z5" s="134"/>
      <c r="AA5" s="134"/>
      <c r="AB5" s="134"/>
      <c r="AC5" s="134"/>
      <c r="AD5" s="134"/>
      <c r="AE5" s="134"/>
      <c r="AF5" s="134"/>
      <c r="AG5" s="134"/>
      <c r="AH5" s="134"/>
    </row>
    <row r="6" spans="1:34" ht="15" customHeight="1" x14ac:dyDescent="0.3">
      <c r="A6" s="134" t="s">
        <v>356</v>
      </c>
      <c r="B6" s="134"/>
      <c r="C6" s="134"/>
      <c r="D6" s="134"/>
      <c r="E6" s="134"/>
      <c r="F6" s="134"/>
      <c r="G6" s="134"/>
      <c r="H6" s="134"/>
      <c r="I6" s="134"/>
      <c r="J6" s="134"/>
      <c r="K6" s="134"/>
      <c r="L6" s="134"/>
      <c r="M6" s="134"/>
      <c r="N6" s="134"/>
      <c r="O6" s="134"/>
      <c r="P6" s="134"/>
      <c r="Q6" s="134"/>
      <c r="R6" s="134"/>
      <c r="S6" s="134"/>
      <c r="T6" s="134"/>
      <c r="U6" s="134"/>
      <c r="V6" s="134"/>
      <c r="W6" s="134"/>
      <c r="X6" s="134"/>
      <c r="Y6" s="134"/>
      <c r="Z6" s="134"/>
      <c r="AA6" s="134"/>
      <c r="AB6" s="134"/>
      <c r="AC6" s="134"/>
      <c r="AD6" s="134"/>
      <c r="AE6" s="134"/>
      <c r="AF6" s="134"/>
      <c r="AG6" s="134"/>
      <c r="AH6" s="134"/>
    </row>
    <row r="7" spans="1:34" x14ac:dyDescent="0.3">
      <c r="A7" s="55"/>
      <c r="B7" s="55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  <c r="AE7" s="55"/>
      <c r="AF7" s="55"/>
      <c r="AG7" s="55"/>
      <c r="AH7" s="55"/>
    </row>
    <row r="10" spans="1:34" x14ac:dyDescent="0.3">
      <c r="T10" s="54" t="s">
        <v>357</v>
      </c>
    </row>
    <row r="11" spans="1:34" x14ac:dyDescent="0.3">
      <c r="T11" s="54" t="s">
        <v>358</v>
      </c>
    </row>
    <row r="12" spans="1:34" x14ac:dyDescent="0.3">
      <c r="T12" s="54" t="s">
        <v>359</v>
      </c>
    </row>
    <row r="15" spans="1:34" x14ac:dyDescent="0.3">
      <c r="A15" s="136" t="s">
        <v>360</v>
      </c>
      <c r="B15" s="136"/>
      <c r="C15" s="136"/>
      <c r="D15" s="137" t="str">
        <f>'Данные Клиента Продавца и Авто'!B3</f>
        <v>0810</v>
      </c>
      <c r="E15" s="89"/>
      <c r="F15" s="54" t="s">
        <v>145</v>
      </c>
      <c r="G15" s="88" t="str">
        <f>'Данные Клиента Продавца и Авто'!B4&amp;Лист1!A48&amp;Лист1!A16</f>
        <v>19.09.2022 г.</v>
      </c>
      <c r="H15" s="89"/>
      <c r="I15" s="89"/>
      <c r="J15" s="89"/>
      <c r="K15" s="89"/>
      <c r="L15" s="89"/>
    </row>
    <row r="19" spans="1:35" ht="25.8" x14ac:dyDescent="0.5">
      <c r="A19" s="138" t="s">
        <v>361</v>
      </c>
      <c r="B19" s="138"/>
      <c r="C19" s="138"/>
      <c r="D19" s="138"/>
      <c r="E19" s="138"/>
      <c r="F19" s="138"/>
      <c r="G19" s="138"/>
      <c r="H19" s="138"/>
      <c r="I19" s="138"/>
      <c r="J19" s="138"/>
      <c r="K19" s="138"/>
      <c r="L19" s="138"/>
      <c r="M19" s="138"/>
      <c r="N19" s="138"/>
      <c r="O19" s="138"/>
      <c r="P19" s="138"/>
      <c r="Q19" s="138"/>
      <c r="R19" s="138"/>
      <c r="S19" s="138"/>
      <c r="T19" s="138"/>
      <c r="U19" s="138"/>
      <c r="V19" s="138"/>
      <c r="W19" s="138"/>
      <c r="X19" s="138"/>
      <c r="Y19" s="138"/>
      <c r="Z19" s="138"/>
      <c r="AA19" s="138"/>
      <c r="AB19" s="138"/>
      <c r="AC19" s="138"/>
      <c r="AD19" s="138"/>
      <c r="AE19" s="138"/>
      <c r="AF19" s="138"/>
      <c r="AG19" s="138"/>
      <c r="AH19" s="138"/>
    </row>
    <row r="21" spans="1:35" x14ac:dyDescent="0.3">
      <c r="C21" s="54" t="s">
        <v>362</v>
      </c>
      <c r="P21" s="137" t="str">
        <f>'Данные Клиента Продавца и Авто'!B3</f>
        <v>0810</v>
      </c>
      <c r="Q21" s="89"/>
      <c r="R21" s="54" t="s">
        <v>145</v>
      </c>
      <c r="S21" s="88" t="str">
        <f>'Данные Клиента Продавца и Авто'!B4&amp;Лист1!A48&amp;Лист1!A16</f>
        <v>19.09.2022 г.</v>
      </c>
      <c r="T21" s="89"/>
      <c r="U21" s="89"/>
      <c r="V21" s="89"/>
      <c r="W21" s="89"/>
      <c r="X21" s="89"/>
      <c r="Y21" s="54" t="s">
        <v>363</v>
      </c>
    </row>
    <row r="22" spans="1:35" x14ac:dyDescent="0.3">
      <c r="A22" s="134" t="s">
        <v>364</v>
      </c>
      <c r="B22" s="134"/>
      <c r="C22" s="134"/>
      <c r="D22" s="134"/>
      <c r="E22" s="134"/>
      <c r="F22" s="134"/>
      <c r="G22" s="134"/>
      <c r="H22" s="134"/>
      <c r="I22" s="134"/>
      <c r="J22" s="134"/>
      <c r="K22" s="134"/>
      <c r="L22" s="134"/>
      <c r="M22" s="134"/>
      <c r="N22" s="134"/>
      <c r="O22" s="134"/>
      <c r="P22" s="134"/>
      <c r="Q22" s="134"/>
      <c r="R22" s="134"/>
      <c r="S22" s="134"/>
      <c r="T22" s="134"/>
      <c r="U22" s="134"/>
      <c r="V22" s="134"/>
      <c r="W22" s="134"/>
      <c r="X22" s="134"/>
      <c r="Y22" s="134"/>
      <c r="Z22" s="134"/>
      <c r="AA22" s="134"/>
      <c r="AB22" s="134"/>
      <c r="AC22" s="134"/>
      <c r="AD22" s="134"/>
      <c r="AE22" s="134"/>
      <c r="AF22" s="134"/>
      <c r="AG22" s="134"/>
      <c r="AH22" s="134"/>
      <c r="AI22" s="134"/>
    </row>
    <row r="23" spans="1:35" x14ac:dyDescent="0.3">
      <c r="A23" s="98" t="str">
        <f>'Данные Клиента Продавца и Авто'!B43</f>
        <v>Хайруллиным Маратом Талгатовичем</v>
      </c>
      <c r="B23" s="98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54" t="s">
        <v>365</v>
      </c>
    </row>
    <row r="24" spans="1:35" x14ac:dyDescent="0.3">
      <c r="F24" s="54" t="s">
        <v>366</v>
      </c>
      <c r="Y24" s="139">
        <f>'Данные Клиента Продавца и Авто'!B31</f>
        <v>100000</v>
      </c>
      <c r="Z24" s="139"/>
      <c r="AA24" s="139"/>
      <c r="AB24" s="139"/>
      <c r="AC24" s="139"/>
      <c r="AD24" s="139"/>
    </row>
    <row r="25" spans="1:35" x14ac:dyDescent="0.3">
      <c r="A25" s="140" t="e">
        <f ca="1">'Данные Клиента Продавца и Авто'!B32</f>
        <v>#NAME?</v>
      </c>
      <c r="B25" s="140"/>
      <c r="C25" s="140"/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54" t="s">
        <v>367</v>
      </c>
      <c r="U25" s="2"/>
      <c r="V25" s="2"/>
      <c r="W25" s="2"/>
      <c r="X25" s="2"/>
      <c r="Y25" s="2"/>
      <c r="Z25" s="2"/>
      <c r="AA25" s="2"/>
      <c r="AB25" s="2"/>
      <c r="AC25" s="139">
        <f>'Данные Клиента Продавца и Авто'!B40</f>
        <v>16666.666666666668</v>
      </c>
      <c r="AD25" s="139"/>
      <c r="AE25" s="139"/>
      <c r="AF25" s="139"/>
      <c r="AG25" s="139"/>
      <c r="AH25" s="139"/>
      <c r="AI25" s="2"/>
    </row>
    <row r="26" spans="1:35" x14ac:dyDescent="0.3">
      <c r="A26" s="140" t="e">
        <f ca="1">'Данные Клиента Продавца и Авто'!B42</f>
        <v>#NAME?</v>
      </c>
      <c r="B26" s="140"/>
      <c r="C26" s="140"/>
      <c r="D26" s="140"/>
      <c r="E26" s="140"/>
      <c r="F26" s="140"/>
      <c r="G26" s="140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54" t="s">
        <v>368</v>
      </c>
      <c r="X26" s="141" t="str">
        <f>'Данные Клиента Продавца и Авто'!B45</f>
        <v>Хайруллина Марата Талгатовича</v>
      </c>
      <c r="Y26" s="141"/>
      <c r="Z26" s="141"/>
      <c r="AA26" s="141"/>
      <c r="AB26" s="141"/>
      <c r="AC26" s="141"/>
      <c r="AD26" s="141"/>
      <c r="AE26" s="141"/>
      <c r="AF26" s="141"/>
      <c r="AG26" s="141"/>
      <c r="AH26" s="141"/>
      <c r="AI26" s="141"/>
    </row>
    <row r="27" spans="1:35" x14ac:dyDescent="0.3">
      <c r="E27" s="54" t="s">
        <v>369</v>
      </c>
      <c r="S27" s="89" t="str">
        <f>'Данные Клиента Продавца и Авто'!B35</f>
        <v>02549/2022</v>
      </c>
      <c r="T27" s="89"/>
      <c r="U27" s="89"/>
      <c r="V27" s="89"/>
      <c r="W27" s="54" t="s">
        <v>145</v>
      </c>
      <c r="X27" s="88" t="str">
        <f>'Данные Клиента Продавца и Авто'!B34&amp;Лист1!A48&amp;Лист1!A16</f>
        <v>27.03.2022 г.</v>
      </c>
      <c r="Y27" s="89"/>
      <c r="Z27" s="89"/>
      <c r="AA27" s="89"/>
      <c r="AB27" s="89"/>
      <c r="AC27" s="89"/>
    </row>
    <row r="28" spans="1:35" x14ac:dyDescent="0.3">
      <c r="F28" s="54" t="s">
        <v>370</v>
      </c>
      <c r="U28" s="99" t="str">
        <f>'Данные Клиента Продавца и Авто'!B44</f>
        <v>Хайруллиным Маратом Талгатовичем</v>
      </c>
      <c r="V28" s="99"/>
      <c r="W28" s="99"/>
      <c r="X28" s="99"/>
      <c r="Y28" s="99"/>
      <c r="Z28" s="99"/>
      <c r="AA28" s="99"/>
      <c r="AB28" s="99"/>
      <c r="AC28" s="99"/>
      <c r="AD28" s="99"/>
      <c r="AE28" s="99"/>
      <c r="AF28" s="99"/>
      <c r="AG28" s="99"/>
      <c r="AH28" s="99"/>
    </row>
    <row r="37" spans="1:30" x14ac:dyDescent="0.3">
      <c r="A37" s="54" t="s">
        <v>371</v>
      </c>
    </row>
    <row r="38" spans="1:30" x14ac:dyDescent="0.3">
      <c r="A38" s="54" t="s">
        <v>266</v>
      </c>
      <c r="AD38" s="54" t="s">
        <v>372</v>
      </c>
    </row>
  </sheetData>
  <mergeCells count="22">
    <mergeCell ref="S27:V27"/>
    <mergeCell ref="X27:AC27"/>
    <mergeCell ref="U28:AH28"/>
    <mergeCell ref="A22:AI22"/>
    <mergeCell ref="A23:N23"/>
    <mergeCell ref="Y24:AD24"/>
    <mergeCell ref="A25:S25"/>
    <mergeCell ref="AC25:AH25"/>
    <mergeCell ref="A26:T26"/>
    <mergeCell ref="X26:AI26"/>
    <mergeCell ref="A15:C15"/>
    <mergeCell ref="D15:E15"/>
    <mergeCell ref="G15:L15"/>
    <mergeCell ref="A19:AH19"/>
    <mergeCell ref="P21:Q21"/>
    <mergeCell ref="S21:X21"/>
    <mergeCell ref="A6:AH6"/>
    <mergeCell ref="A1:AH1"/>
    <mergeCell ref="A2:AH2"/>
    <mergeCell ref="A3:AH3"/>
    <mergeCell ref="A4:AH4"/>
    <mergeCell ref="A5:AH5"/>
  </mergeCells>
  <pageMargins left="3.937007874015748E-2" right="3.937007874015748E-2" top="0.74803149606299213" bottom="0.74803149606299213" header="0.31496062992125984" footer="0.31496062992125984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23">
    <tabColor rgb="FFFFFF00"/>
  </sheetPr>
  <dimension ref="A1:AW49"/>
  <sheetViews>
    <sheetView view="pageLayout" topLeftCell="A19" zoomScaleNormal="100" workbookViewId="0">
      <selection activeCell="A28" sqref="A28:AH29"/>
    </sheetView>
  </sheetViews>
  <sheetFormatPr defaultColWidth="2.77734375" defaultRowHeight="14.4" x14ac:dyDescent="0.3"/>
  <sheetData>
    <row r="1" spans="1:48" ht="15" customHeight="1" x14ac:dyDescent="0.3">
      <c r="A1" s="144" t="s">
        <v>398</v>
      </c>
      <c r="B1" s="144"/>
      <c r="C1" s="144"/>
      <c r="D1" s="144"/>
      <c r="E1" s="144"/>
      <c r="F1" s="144"/>
      <c r="G1" s="144"/>
      <c r="H1" s="144"/>
      <c r="I1" s="144"/>
      <c r="J1" s="144"/>
      <c r="K1" s="144"/>
      <c r="L1" s="144"/>
      <c r="M1" s="144"/>
      <c r="N1" s="144"/>
      <c r="O1" s="144"/>
      <c r="P1" s="144"/>
      <c r="Q1" s="144"/>
      <c r="R1" s="144"/>
      <c r="S1" s="144"/>
      <c r="T1" s="144"/>
      <c r="U1" s="144"/>
      <c r="V1" s="144"/>
      <c r="W1" s="144"/>
      <c r="X1" s="144"/>
      <c r="Y1" s="144"/>
      <c r="Z1" s="144"/>
      <c r="AA1" s="144"/>
      <c r="AB1" s="144"/>
      <c r="AC1" s="144"/>
      <c r="AD1" s="144"/>
      <c r="AE1" s="144"/>
      <c r="AF1" s="144"/>
      <c r="AG1" s="144"/>
      <c r="AH1" s="144"/>
    </row>
    <row r="2" spans="1:48" ht="15" customHeight="1" x14ac:dyDescent="0.3">
      <c r="A2" s="145" t="s">
        <v>399</v>
      </c>
      <c r="B2" s="145"/>
      <c r="C2" s="145"/>
      <c r="D2" s="145"/>
      <c r="E2" s="145"/>
      <c r="F2" s="145"/>
      <c r="G2" s="145"/>
      <c r="H2" s="145"/>
      <c r="I2" s="145"/>
      <c r="J2" s="145"/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</row>
    <row r="3" spans="1:48" ht="15" customHeight="1" x14ac:dyDescent="0.3">
      <c r="A3" s="58"/>
    </row>
    <row r="4" spans="1:48" ht="15" customHeight="1" x14ac:dyDescent="0.3">
      <c r="A4" s="142" t="str">
        <f>Лист1!A16&amp;Лист1!A48&amp;'Данные Продажи'!B2</f>
        <v>г. Екатеринбург</v>
      </c>
      <c r="B4" s="142"/>
      <c r="C4" s="142"/>
      <c r="D4" s="142"/>
      <c r="E4" s="142"/>
      <c r="F4" s="142"/>
      <c r="G4" s="142"/>
      <c r="H4" s="142"/>
      <c r="I4" s="142"/>
      <c r="J4" s="142"/>
      <c r="K4" s="142"/>
      <c r="L4" s="142"/>
      <c r="AB4" s="146" t="str">
        <f>'Данные Продажи'!B3&amp;Лист1!A48&amp;Лист1!A16</f>
        <v>19.09.2022 г.</v>
      </c>
      <c r="AC4" s="147"/>
      <c r="AD4" s="147"/>
      <c r="AE4" s="147"/>
      <c r="AF4" s="147"/>
      <c r="AG4" s="147"/>
      <c r="AH4" s="147"/>
    </row>
    <row r="5" spans="1:48" ht="15" customHeight="1" x14ac:dyDescent="0.3">
      <c r="A5" s="148" t="str">
        <f>Лист1!A142</f>
        <v xml:space="preserve">Фамилия Имя Отчество, место рождения: дд.мм.гггг, дд.мм.гггг г.р., паспорт серии 0000 № 000000, выдан дд.мм.гггг г., Полностью как в паспорте, код подразделения 000-000, зарегестрированный по адресу: Область, город, улица, дом, корпус, квартира, именуемый в дальнейшем "Продавец" с одной стороны, и Швецов Евгений Мизайлович, место рождения: гор. Свердловск, 23.07.1981 г.р., паспорт серии 6504 № 426241, выдан 30.07.2003г., Орджоникидзевским РУВД города Екатеринбурга, код подразделения 662-007, зарегестрированный по адресу: Свердловская область г. Екатеринбург пер. Симбирский д. 2/4, кв. 115, именуемый в дальнейшем "Покупатель" с другой стороны, заключили договор о нижеследующем: </v>
      </c>
      <c r="B5" s="148"/>
      <c r="C5" s="148"/>
      <c r="D5" s="148"/>
      <c r="E5" s="148"/>
      <c r="F5" s="148"/>
      <c r="G5" s="148"/>
      <c r="H5" s="148"/>
      <c r="I5" s="148"/>
      <c r="J5" s="148"/>
      <c r="K5" s="148"/>
      <c r="L5" s="148"/>
      <c r="M5" s="148"/>
      <c r="N5" s="148"/>
      <c r="O5" s="148"/>
      <c r="P5" s="148"/>
      <c r="Q5" s="148"/>
      <c r="R5" s="148"/>
      <c r="S5" s="148"/>
      <c r="T5" s="148"/>
      <c r="U5" s="148"/>
      <c r="V5" s="148"/>
      <c r="W5" s="148"/>
      <c r="X5" s="148"/>
      <c r="Y5" s="148"/>
      <c r="Z5" s="148"/>
      <c r="AA5" s="148"/>
      <c r="AB5" s="148"/>
      <c r="AC5" s="148"/>
      <c r="AD5" s="148"/>
      <c r="AE5" s="148"/>
      <c r="AF5" s="148"/>
      <c r="AG5" s="148"/>
      <c r="AH5" s="148"/>
    </row>
    <row r="6" spans="1:48" ht="15" customHeight="1" x14ac:dyDescent="0.3">
      <c r="A6" s="148"/>
      <c r="B6" s="148"/>
      <c r="C6" s="148"/>
      <c r="D6" s="148"/>
      <c r="E6" s="148"/>
      <c r="F6" s="148"/>
      <c r="G6" s="148"/>
      <c r="H6" s="148"/>
      <c r="I6" s="148"/>
      <c r="J6" s="148"/>
      <c r="K6" s="148"/>
      <c r="L6" s="148"/>
      <c r="M6" s="148"/>
      <c r="N6" s="148"/>
      <c r="O6" s="148"/>
      <c r="P6" s="148"/>
      <c r="Q6" s="148"/>
      <c r="R6" s="148"/>
      <c r="S6" s="148"/>
      <c r="T6" s="148"/>
      <c r="U6" s="148"/>
      <c r="V6" s="148"/>
      <c r="W6" s="148"/>
      <c r="X6" s="148"/>
      <c r="Y6" s="148"/>
      <c r="Z6" s="148"/>
      <c r="AA6" s="148"/>
      <c r="AB6" s="148"/>
      <c r="AC6" s="148"/>
      <c r="AD6" s="148"/>
      <c r="AE6" s="148"/>
      <c r="AF6" s="148"/>
      <c r="AG6" s="148"/>
      <c r="AH6" s="148"/>
    </row>
    <row r="7" spans="1:48" ht="15" customHeight="1" x14ac:dyDescent="0.3">
      <c r="A7" s="148"/>
      <c r="B7" s="148"/>
      <c r="C7" s="148"/>
      <c r="D7" s="148"/>
      <c r="E7" s="148"/>
      <c r="F7" s="148"/>
      <c r="G7" s="148"/>
      <c r="H7" s="148"/>
      <c r="I7" s="148"/>
      <c r="J7" s="148"/>
      <c r="K7" s="148"/>
      <c r="L7" s="148"/>
      <c r="M7" s="148"/>
      <c r="N7" s="148"/>
      <c r="O7" s="148"/>
      <c r="P7" s="148"/>
      <c r="Q7" s="148"/>
      <c r="R7" s="148"/>
      <c r="S7" s="148"/>
      <c r="T7" s="148"/>
      <c r="U7" s="148"/>
      <c r="V7" s="148"/>
      <c r="W7" s="148"/>
      <c r="X7" s="148"/>
      <c r="Y7" s="148"/>
      <c r="Z7" s="148"/>
      <c r="AA7" s="148"/>
      <c r="AB7" s="148"/>
      <c r="AC7" s="148"/>
      <c r="AD7" s="148"/>
      <c r="AE7" s="148"/>
      <c r="AF7" s="148"/>
      <c r="AG7" s="148"/>
      <c r="AH7" s="148"/>
    </row>
    <row r="8" spans="1:48" ht="15" customHeight="1" x14ac:dyDescent="0.3">
      <c r="A8" s="148"/>
      <c r="B8" s="148"/>
      <c r="C8" s="148"/>
      <c r="D8" s="148"/>
      <c r="E8" s="148"/>
      <c r="F8" s="148"/>
      <c r="G8" s="148"/>
      <c r="H8" s="148"/>
      <c r="I8" s="148"/>
      <c r="J8" s="148"/>
      <c r="K8" s="148"/>
      <c r="L8" s="148"/>
      <c r="M8" s="148"/>
      <c r="N8" s="148"/>
      <c r="O8" s="148"/>
      <c r="P8" s="148"/>
      <c r="Q8" s="148"/>
      <c r="R8" s="148"/>
      <c r="S8" s="148"/>
      <c r="T8" s="148"/>
      <c r="U8" s="148"/>
      <c r="V8" s="148"/>
      <c r="W8" s="148"/>
      <c r="X8" s="148"/>
      <c r="Y8" s="148"/>
      <c r="Z8" s="148"/>
      <c r="AA8" s="148"/>
      <c r="AB8" s="148"/>
      <c r="AC8" s="148"/>
      <c r="AD8" s="148"/>
      <c r="AE8" s="148"/>
      <c r="AF8" s="148"/>
      <c r="AG8" s="148"/>
      <c r="AH8" s="148"/>
    </row>
    <row r="9" spans="1:48" ht="15" customHeight="1" x14ac:dyDescent="0.3">
      <c r="A9" s="148"/>
      <c r="B9" s="148"/>
      <c r="C9" s="148"/>
      <c r="D9" s="148"/>
      <c r="E9" s="148"/>
      <c r="F9" s="148"/>
      <c r="G9" s="148"/>
      <c r="H9" s="148"/>
      <c r="I9" s="148"/>
      <c r="J9" s="148"/>
      <c r="K9" s="148"/>
      <c r="L9" s="148"/>
      <c r="M9" s="148"/>
      <c r="N9" s="148"/>
      <c r="O9" s="148"/>
      <c r="P9" s="148"/>
      <c r="Q9" s="148"/>
      <c r="R9" s="148"/>
      <c r="S9" s="148"/>
      <c r="T9" s="148"/>
      <c r="U9" s="148"/>
      <c r="V9" s="148"/>
      <c r="W9" s="148"/>
      <c r="X9" s="148"/>
      <c r="Y9" s="148"/>
      <c r="Z9" s="148"/>
      <c r="AA9" s="148"/>
      <c r="AB9" s="148"/>
      <c r="AC9" s="148"/>
      <c r="AD9" s="148"/>
      <c r="AE9" s="148"/>
      <c r="AF9" s="148"/>
      <c r="AG9" s="148"/>
      <c r="AH9" s="148"/>
    </row>
    <row r="10" spans="1:48" ht="15" customHeight="1" x14ac:dyDescent="0.3">
      <c r="A10" s="148"/>
      <c r="B10" s="148"/>
      <c r="C10" s="148"/>
      <c r="D10" s="148"/>
      <c r="E10" s="148"/>
      <c r="F10" s="148"/>
      <c r="G10" s="148"/>
      <c r="H10" s="148"/>
      <c r="I10" s="148"/>
      <c r="J10" s="148"/>
      <c r="K10" s="148"/>
      <c r="L10" s="148"/>
      <c r="M10" s="148"/>
      <c r="N10" s="148"/>
      <c r="O10" s="148"/>
      <c r="P10" s="148"/>
      <c r="Q10" s="148"/>
      <c r="R10" s="148"/>
      <c r="S10" s="148"/>
      <c r="T10" s="148"/>
      <c r="U10" s="148"/>
      <c r="V10" s="148"/>
      <c r="W10" s="148"/>
      <c r="X10" s="148"/>
      <c r="Y10" s="148"/>
      <c r="Z10" s="148"/>
      <c r="AA10" s="148"/>
      <c r="AB10" s="148"/>
      <c r="AC10" s="148"/>
      <c r="AD10" s="148"/>
      <c r="AE10" s="148"/>
      <c r="AF10" s="148"/>
      <c r="AG10" s="148"/>
      <c r="AH10" s="148"/>
    </row>
    <row r="11" spans="1:48" ht="15" customHeight="1" x14ac:dyDescent="0.3">
      <c r="A11" s="148"/>
      <c r="B11" s="148"/>
      <c r="C11" s="148"/>
      <c r="D11" s="148"/>
      <c r="E11" s="148"/>
      <c r="F11" s="148"/>
      <c r="G11" s="148"/>
      <c r="H11" s="148"/>
      <c r="I11" s="148"/>
      <c r="J11" s="148"/>
      <c r="K11" s="148"/>
      <c r="L11" s="148"/>
      <c r="M11" s="148"/>
      <c r="N11" s="148"/>
      <c r="O11" s="148"/>
      <c r="P11" s="148"/>
      <c r="Q11" s="148"/>
      <c r="R11" s="148"/>
      <c r="S11" s="148"/>
      <c r="T11" s="148"/>
      <c r="U11" s="148"/>
      <c r="V11" s="148"/>
      <c r="W11" s="148"/>
      <c r="X11" s="148"/>
      <c r="Y11" s="148"/>
      <c r="Z11" s="148"/>
      <c r="AA11" s="148"/>
      <c r="AB11" s="148"/>
      <c r="AC11" s="148"/>
      <c r="AD11" s="148"/>
      <c r="AE11" s="148"/>
      <c r="AF11" s="148"/>
      <c r="AG11" s="148"/>
      <c r="AH11" s="148"/>
    </row>
    <row r="12" spans="1:48" ht="15" customHeight="1" x14ac:dyDescent="0.3">
      <c r="A12" s="148"/>
      <c r="B12" s="148"/>
      <c r="C12" s="148"/>
      <c r="D12" s="148"/>
      <c r="E12" s="148"/>
      <c r="F12" s="148"/>
      <c r="G12" s="148"/>
      <c r="H12" s="148"/>
      <c r="I12" s="148"/>
      <c r="J12" s="148"/>
      <c r="K12" s="148"/>
      <c r="L12" s="148"/>
      <c r="M12" s="148"/>
      <c r="N12" s="148"/>
      <c r="O12" s="148"/>
      <c r="P12" s="148"/>
      <c r="Q12" s="148"/>
      <c r="R12" s="148"/>
      <c r="S12" s="148"/>
      <c r="T12" s="148"/>
      <c r="U12" s="148"/>
      <c r="V12" s="148"/>
      <c r="W12" s="148"/>
      <c r="X12" s="148"/>
      <c r="Y12" s="148"/>
      <c r="Z12" s="148"/>
      <c r="AA12" s="148"/>
      <c r="AB12" s="148"/>
      <c r="AC12" s="148"/>
      <c r="AD12" s="148"/>
      <c r="AE12" s="148"/>
      <c r="AF12" s="148"/>
      <c r="AG12" s="148"/>
      <c r="AH12" s="148"/>
    </row>
    <row r="13" spans="1:48" ht="15" customHeight="1" x14ac:dyDescent="0.3">
      <c r="A13" s="148"/>
      <c r="B13" s="148"/>
      <c r="C13" s="148"/>
      <c r="D13" s="148"/>
      <c r="E13" s="148"/>
      <c r="F13" s="148"/>
      <c r="G13" s="148"/>
      <c r="H13" s="148"/>
      <c r="I13" s="148"/>
      <c r="J13" s="148"/>
      <c r="K13" s="148"/>
      <c r="L13" s="148"/>
      <c r="M13" s="148"/>
      <c r="N13" s="148"/>
      <c r="O13" s="148"/>
      <c r="P13" s="148"/>
      <c r="Q13" s="148"/>
      <c r="R13" s="148"/>
      <c r="S13" s="148"/>
      <c r="T13" s="148"/>
      <c r="U13" s="148"/>
      <c r="V13" s="148"/>
      <c r="W13" s="148"/>
      <c r="X13" s="148"/>
      <c r="Y13" s="148"/>
      <c r="Z13" s="148"/>
      <c r="AA13" s="148"/>
      <c r="AB13" s="148"/>
      <c r="AC13" s="148"/>
      <c r="AD13" s="148"/>
      <c r="AE13" s="148"/>
      <c r="AF13" s="148"/>
      <c r="AG13" s="148"/>
      <c r="AH13" s="148"/>
    </row>
    <row r="14" spans="1:48" ht="15" customHeight="1" x14ac:dyDescent="0.3">
      <c r="A14" s="148"/>
      <c r="B14" s="148"/>
      <c r="C14" s="148"/>
      <c r="D14" s="148"/>
      <c r="E14" s="148"/>
      <c r="F14" s="148"/>
      <c r="G14" s="148"/>
      <c r="H14" s="148"/>
      <c r="I14" s="148"/>
      <c r="J14" s="148"/>
      <c r="K14" s="148"/>
      <c r="L14" s="148"/>
      <c r="M14" s="148"/>
      <c r="N14" s="148"/>
      <c r="O14" s="148"/>
      <c r="P14" s="148"/>
      <c r="Q14" s="148"/>
      <c r="R14" s="148"/>
      <c r="S14" s="148"/>
      <c r="T14" s="148"/>
      <c r="U14" s="148"/>
      <c r="V14" s="148"/>
      <c r="W14" s="148"/>
      <c r="X14" s="148"/>
      <c r="Y14" s="148"/>
      <c r="Z14" s="148"/>
      <c r="AA14" s="148"/>
      <c r="AB14" s="148"/>
      <c r="AC14" s="148"/>
      <c r="AD14" s="148"/>
      <c r="AE14" s="148"/>
      <c r="AF14" s="148"/>
      <c r="AG14" s="148"/>
      <c r="AH14" s="148"/>
    </row>
    <row r="15" spans="1:48" ht="15" customHeight="1" x14ac:dyDescent="0.3">
      <c r="A15" s="142" t="s">
        <v>400</v>
      </c>
      <c r="B15" s="142"/>
      <c r="C15" s="142"/>
      <c r="D15" s="142"/>
      <c r="E15" s="142"/>
      <c r="F15" s="142"/>
      <c r="G15" s="142"/>
      <c r="H15" s="142"/>
      <c r="I15" s="142"/>
      <c r="J15" s="142"/>
      <c r="K15" s="142"/>
      <c r="L15" s="142"/>
      <c r="M15" s="142"/>
      <c r="N15" s="142"/>
      <c r="O15" s="142"/>
      <c r="P15" s="142"/>
      <c r="Q15" s="142"/>
      <c r="R15" s="142"/>
      <c r="S15" s="142"/>
      <c r="T15" s="142"/>
      <c r="U15" s="142"/>
      <c r="V15" s="142"/>
      <c r="W15" s="142"/>
      <c r="X15" s="142"/>
      <c r="Y15" s="142"/>
      <c r="Z15" s="142"/>
      <c r="AA15" s="142"/>
      <c r="AB15" s="142"/>
      <c r="AC15" s="142"/>
      <c r="AD15" s="142"/>
      <c r="AE15" s="142"/>
      <c r="AF15" s="142"/>
      <c r="AG15" s="142"/>
      <c r="AH15" s="142"/>
    </row>
    <row r="16" spans="1:48" ht="15" customHeight="1" x14ac:dyDescent="0.3">
      <c r="AV16" s="59"/>
    </row>
    <row r="17" spans="1:49" ht="15" customHeight="1" x14ac:dyDescent="0.3">
      <c r="A17" s="143" t="str">
        <f>'Данные Клиента Продавца и Авто'!A19</f>
        <v xml:space="preserve">Идентификационный номер (VIN): </v>
      </c>
      <c r="B17" s="143"/>
      <c r="C17" s="143"/>
      <c r="D17" s="143"/>
      <c r="E17" s="143"/>
      <c r="F17" s="143"/>
      <c r="G17" s="143"/>
      <c r="H17" s="143"/>
      <c r="I17" s="143"/>
      <c r="J17" s="143"/>
      <c r="K17" s="143"/>
      <c r="L17" s="143"/>
      <c r="M17" s="143"/>
      <c r="N17" s="143" t="str">
        <f>'Данные Клиента Продавца и Авто'!B19</f>
        <v>VIN</v>
      </c>
      <c r="O17" s="143"/>
      <c r="P17" s="143"/>
      <c r="Q17" s="143"/>
      <c r="R17" s="143"/>
      <c r="S17" s="143"/>
      <c r="T17" s="143"/>
      <c r="U17" s="143"/>
      <c r="V17" s="143"/>
      <c r="W17" s="143"/>
      <c r="X17" s="143"/>
      <c r="Y17" s="143"/>
      <c r="Z17" s="143"/>
      <c r="AA17" s="143"/>
      <c r="AB17" s="143"/>
      <c r="AC17" s="143"/>
      <c r="AD17" s="143"/>
      <c r="AE17" s="143"/>
      <c r="AF17" s="143"/>
      <c r="AG17" s="143"/>
      <c r="AH17" s="143"/>
      <c r="AV17" s="60"/>
    </row>
    <row r="18" spans="1:49" ht="15" customHeight="1" x14ac:dyDescent="0.3">
      <c r="A18" s="143" t="str">
        <f>'Данные Клиента Продавца и Авто'!A20</f>
        <v>Марка, модель:</v>
      </c>
      <c r="B18" s="143"/>
      <c r="C18" s="143"/>
      <c r="D18" s="143"/>
      <c r="E18" s="143"/>
      <c r="F18" s="143"/>
      <c r="G18" s="143"/>
      <c r="H18" s="143"/>
      <c r="I18" s="143"/>
      <c r="J18" s="143"/>
      <c r="K18" s="143"/>
      <c r="L18" s="143"/>
      <c r="M18" s="143"/>
      <c r="N18" s="143" t="str">
        <f>'Данные Клиента Продавца и Авто'!B20</f>
        <v>Марка, модель</v>
      </c>
      <c r="O18" s="143"/>
      <c r="P18" s="143"/>
      <c r="Q18" s="143"/>
      <c r="R18" s="143"/>
      <c r="S18" s="143"/>
      <c r="T18" s="143"/>
      <c r="U18" s="143"/>
      <c r="V18" s="143"/>
      <c r="W18" s="143"/>
      <c r="X18" s="143"/>
      <c r="Y18" s="143"/>
      <c r="Z18" s="143"/>
      <c r="AA18" s="143"/>
      <c r="AB18" s="143"/>
      <c r="AC18" s="143"/>
      <c r="AD18" s="143"/>
      <c r="AE18" s="143"/>
      <c r="AF18" s="143"/>
      <c r="AG18" s="143"/>
      <c r="AH18" s="143"/>
      <c r="AV18" s="59"/>
    </row>
    <row r="19" spans="1:49" ht="15" customHeight="1" x14ac:dyDescent="0.3">
      <c r="A19" s="143" t="str">
        <f>'Данные Клиента Продавца и Авто'!A21</f>
        <v xml:space="preserve">Наименование (тип ТС): </v>
      </c>
      <c r="B19" s="143"/>
      <c r="C19" s="143"/>
      <c r="D19" s="143"/>
      <c r="E19" s="143"/>
      <c r="F19" s="143"/>
      <c r="G19" s="143"/>
      <c r="H19" s="143"/>
      <c r="I19" s="143"/>
      <c r="J19" s="143"/>
      <c r="K19" s="143"/>
      <c r="L19" s="143"/>
      <c r="M19" s="143"/>
      <c r="N19" s="143" t="str">
        <f>'Данные Клиента Продавца и Авто'!B21</f>
        <v xml:space="preserve">легковой </v>
      </c>
      <c r="O19" s="143"/>
      <c r="P19" s="143"/>
      <c r="Q19" s="143"/>
      <c r="R19" s="143"/>
      <c r="S19" s="143"/>
      <c r="T19" s="143"/>
      <c r="U19" s="143"/>
      <c r="V19" s="143"/>
      <c r="W19" s="143"/>
      <c r="X19" s="143"/>
      <c r="Y19" s="143"/>
      <c r="Z19" s="143"/>
      <c r="AA19" s="143"/>
      <c r="AB19" s="143"/>
      <c r="AC19" s="143"/>
      <c r="AD19" s="143"/>
      <c r="AE19" s="143"/>
      <c r="AF19" s="143"/>
      <c r="AG19" s="143"/>
      <c r="AH19" s="143"/>
      <c r="AV19" s="58"/>
    </row>
    <row r="20" spans="1:49" ht="15" customHeight="1" x14ac:dyDescent="0.3">
      <c r="A20" s="143" t="str">
        <f>'Данные Клиента Продавца и Авто'!A22</f>
        <v>Категория ТС (A, B, C, D, прицеп):</v>
      </c>
      <c r="B20" s="143"/>
      <c r="C20" s="143"/>
      <c r="D20" s="143"/>
      <c r="E20" s="143"/>
      <c r="F20" s="143"/>
      <c r="G20" s="143"/>
      <c r="H20" s="143"/>
      <c r="I20" s="143"/>
      <c r="J20" s="143"/>
      <c r="K20" s="143"/>
      <c r="L20" s="143"/>
      <c r="M20" s="143"/>
      <c r="N20" s="143" t="str">
        <f>'Данные Клиента Продавца и Авто'!B22</f>
        <v>В</v>
      </c>
      <c r="O20" s="143"/>
      <c r="P20" s="143"/>
      <c r="Q20" s="143"/>
      <c r="R20" s="143"/>
      <c r="S20" s="143"/>
      <c r="T20" s="143"/>
      <c r="U20" s="143"/>
      <c r="V20" s="143"/>
      <c r="W20" s="143"/>
      <c r="X20" s="143"/>
      <c r="Y20" s="143"/>
      <c r="Z20" s="143"/>
      <c r="AA20" s="143"/>
      <c r="AB20" s="143"/>
      <c r="AC20" s="143"/>
      <c r="AD20" s="143"/>
      <c r="AE20" s="143"/>
      <c r="AF20" s="143"/>
      <c r="AG20" s="143"/>
      <c r="AH20" s="143"/>
      <c r="AV20" s="61"/>
    </row>
    <row r="21" spans="1:49" ht="15" customHeight="1" x14ac:dyDescent="0.3">
      <c r="A21" s="143" t="str">
        <f>'Данные Клиента Продавца и Авто'!A23</f>
        <v>Год изготовления ТС:</v>
      </c>
      <c r="B21" s="143"/>
      <c r="C21" s="143"/>
      <c r="D21" s="143"/>
      <c r="E21" s="143"/>
      <c r="F21" s="143"/>
      <c r="G21" s="143"/>
      <c r="H21" s="143"/>
      <c r="I21" s="143"/>
      <c r="J21" s="143"/>
      <c r="K21" s="143"/>
      <c r="L21" s="143"/>
      <c r="M21" s="143"/>
      <c r="N21" s="143" t="str">
        <f>'Данные Клиента Продавца и Авто'!B23</f>
        <v>гггг</v>
      </c>
      <c r="O21" s="143"/>
      <c r="P21" s="143"/>
      <c r="Q21" s="143"/>
      <c r="R21" s="143"/>
      <c r="S21" s="143"/>
      <c r="T21" s="143"/>
      <c r="U21" s="143"/>
      <c r="V21" s="143"/>
      <c r="W21" s="143"/>
      <c r="X21" s="143"/>
      <c r="Y21" s="143"/>
      <c r="Z21" s="143"/>
      <c r="AA21" s="143"/>
      <c r="AB21" s="143"/>
      <c r="AC21" s="143"/>
      <c r="AD21" s="143"/>
      <c r="AE21" s="143"/>
      <c r="AF21" s="143"/>
      <c r="AG21" s="143"/>
      <c r="AH21" s="143"/>
      <c r="AV21" s="61"/>
    </row>
    <row r="22" spans="1:49" ht="15" customHeight="1" x14ac:dyDescent="0.3">
      <c r="A22" s="143" t="str">
        <f>'Данные Клиента Продавца и Авто'!A24</f>
        <v>Шасси (рама):</v>
      </c>
      <c r="B22" s="143"/>
      <c r="C22" s="143"/>
      <c r="D22" s="143"/>
      <c r="E22" s="143"/>
      <c r="F22" s="143"/>
      <c r="G22" s="143"/>
      <c r="H22" s="143"/>
      <c r="I22" s="143"/>
      <c r="J22" s="143"/>
      <c r="K22" s="143"/>
      <c r="L22" s="143"/>
      <c r="M22" s="143"/>
      <c r="N22" s="143" t="str">
        <f>'Данные Клиента Продавца и Авто'!B24</f>
        <v>отсутствует</v>
      </c>
      <c r="O22" s="143"/>
      <c r="P22" s="143"/>
      <c r="Q22" s="143"/>
      <c r="R22" s="143"/>
      <c r="S22" s="143"/>
      <c r="T22" s="143"/>
      <c r="U22" s="143"/>
      <c r="V22" s="143"/>
      <c r="W22" s="143"/>
      <c r="X22" s="143"/>
      <c r="Y22" s="143"/>
      <c r="Z22" s="143"/>
      <c r="AA22" s="143"/>
      <c r="AB22" s="143"/>
      <c r="AC22" s="143"/>
      <c r="AD22" s="143"/>
      <c r="AE22" s="143"/>
      <c r="AF22" s="143"/>
      <c r="AG22" s="143"/>
      <c r="AH22" s="143"/>
      <c r="AV22" s="62"/>
      <c r="AW22" s="63"/>
    </row>
    <row r="23" spans="1:49" ht="15" customHeight="1" x14ac:dyDescent="0.3">
      <c r="A23" s="143" t="str">
        <f>'Данные Клиента Продавца и Авто'!A25</f>
        <v>Кузов (кабина, прицеп):</v>
      </c>
      <c r="B23" s="143"/>
      <c r="C23" s="143"/>
      <c r="D23" s="143"/>
      <c r="E23" s="143"/>
      <c r="F23" s="143"/>
      <c r="G23" s="143"/>
      <c r="H23" s="143"/>
      <c r="I23" s="143"/>
      <c r="J23" s="143"/>
      <c r="K23" s="143"/>
      <c r="L23" s="143"/>
      <c r="M23" s="143"/>
      <c r="N23" s="143" t="str">
        <f>'Данные Клиента Продавца и Авто'!B25</f>
        <v>VIN</v>
      </c>
      <c r="O23" s="143"/>
      <c r="P23" s="143"/>
      <c r="Q23" s="143"/>
      <c r="R23" s="143"/>
      <c r="S23" s="143"/>
      <c r="T23" s="143"/>
      <c r="U23" s="143"/>
      <c r="V23" s="143"/>
      <c r="W23" s="143"/>
      <c r="X23" s="143"/>
      <c r="Y23" s="143"/>
      <c r="Z23" s="143"/>
      <c r="AA23" s="143"/>
      <c r="AB23" s="143"/>
      <c r="AC23" s="143"/>
      <c r="AD23" s="143"/>
      <c r="AE23" s="143"/>
      <c r="AF23" s="143"/>
      <c r="AG23" s="143"/>
      <c r="AH23" s="143"/>
      <c r="AV23" s="59"/>
    </row>
    <row r="24" spans="1:49" ht="15" customHeight="1" x14ac:dyDescent="0.3">
      <c r="A24" s="143" t="str">
        <f>'Данные Клиента Продавца и Авто'!A26</f>
        <v>Цвет кузова (кабины, прицепа):</v>
      </c>
      <c r="B24" s="143"/>
      <c r="C24" s="143"/>
      <c r="D24" s="143"/>
      <c r="E24" s="143"/>
      <c r="F24" s="143"/>
      <c r="G24" s="143"/>
      <c r="H24" s="143"/>
      <c r="I24" s="143"/>
      <c r="J24" s="143"/>
      <c r="K24" s="143"/>
      <c r="L24" s="143"/>
      <c r="M24" s="143"/>
      <c r="N24" s="143" t="str">
        <f>'Данные Клиента Продавца и Авто'!B26</f>
        <v>Цвет авто как в ПТС</v>
      </c>
      <c r="O24" s="143"/>
      <c r="P24" s="143"/>
      <c r="Q24" s="143"/>
      <c r="R24" s="143"/>
      <c r="S24" s="143"/>
      <c r="T24" s="143"/>
      <c r="U24" s="143"/>
      <c r="V24" s="143"/>
      <c r="W24" s="143"/>
      <c r="X24" s="143"/>
      <c r="Y24" s="143"/>
      <c r="Z24" s="143"/>
      <c r="AA24" s="143"/>
      <c r="AB24" s="143"/>
      <c r="AC24" s="143"/>
      <c r="AD24" s="143"/>
      <c r="AE24" s="143"/>
      <c r="AF24" s="143"/>
      <c r="AG24" s="143"/>
      <c r="AH24" s="143"/>
      <c r="AV24" s="59"/>
    </row>
    <row r="25" spans="1:49" ht="15" customHeight="1" x14ac:dyDescent="0.3">
      <c r="A25" s="149" t="str">
        <f>'Данные Клиента Продавца и Авто'!A27</f>
        <v>Паспорт ТС / Электронный ПТС / Св-во регистрации ТС (серия, номер, кем выдан, дата выдачи):</v>
      </c>
      <c r="B25" s="150"/>
      <c r="C25" s="150"/>
      <c r="D25" s="150"/>
      <c r="E25" s="150"/>
      <c r="F25" s="150"/>
      <c r="G25" s="150"/>
      <c r="H25" s="150"/>
      <c r="I25" s="150"/>
      <c r="J25" s="150"/>
      <c r="K25" s="150"/>
      <c r="L25" s="150"/>
      <c r="M25" s="151"/>
      <c r="N25" s="158" t="str">
        <f>'Данные Клиента Продавца и Авто'!B27</f>
        <v>77 УО 666029 Центральная акцизная таможня 12.07.2017</v>
      </c>
      <c r="O25" s="159"/>
      <c r="P25" s="159"/>
      <c r="Q25" s="159"/>
      <c r="R25" s="159"/>
      <c r="S25" s="159"/>
      <c r="T25" s="159"/>
      <c r="U25" s="159"/>
      <c r="V25" s="159"/>
      <c r="W25" s="159"/>
      <c r="X25" s="159"/>
      <c r="Y25" s="159"/>
      <c r="Z25" s="159"/>
      <c r="AA25" s="159"/>
      <c r="AB25" s="159"/>
      <c r="AC25" s="159"/>
      <c r="AD25" s="159"/>
      <c r="AE25" s="159"/>
      <c r="AF25" s="159"/>
      <c r="AG25" s="159"/>
      <c r="AH25" s="160"/>
      <c r="AV25" s="64"/>
    </row>
    <row r="26" spans="1:49" ht="15" customHeight="1" x14ac:dyDescent="0.3">
      <c r="A26" s="152"/>
      <c r="B26" s="153"/>
      <c r="C26" s="153"/>
      <c r="D26" s="153"/>
      <c r="E26" s="153"/>
      <c r="F26" s="153"/>
      <c r="G26" s="153"/>
      <c r="H26" s="153"/>
      <c r="I26" s="153"/>
      <c r="J26" s="153"/>
      <c r="K26" s="153"/>
      <c r="L26" s="153"/>
      <c r="M26" s="154"/>
      <c r="N26" s="161"/>
      <c r="O26" s="162"/>
      <c r="P26" s="162"/>
      <c r="Q26" s="162"/>
      <c r="R26" s="162"/>
      <c r="S26" s="162"/>
      <c r="T26" s="162"/>
      <c r="U26" s="162"/>
      <c r="V26" s="162"/>
      <c r="W26" s="162"/>
      <c r="X26" s="162"/>
      <c r="Y26" s="162"/>
      <c r="Z26" s="162"/>
      <c r="AA26" s="162"/>
      <c r="AB26" s="162"/>
      <c r="AC26" s="162"/>
      <c r="AD26" s="162"/>
      <c r="AE26" s="162"/>
      <c r="AF26" s="162"/>
      <c r="AG26" s="162"/>
      <c r="AH26" s="163"/>
    </row>
    <row r="27" spans="1:49" ht="15" customHeight="1" x14ac:dyDescent="0.3">
      <c r="A27" s="155"/>
      <c r="B27" s="156"/>
      <c r="C27" s="156"/>
      <c r="D27" s="156"/>
      <c r="E27" s="156"/>
      <c r="F27" s="156"/>
      <c r="G27" s="156"/>
      <c r="H27" s="156"/>
      <c r="I27" s="156"/>
      <c r="J27" s="156"/>
      <c r="K27" s="156"/>
      <c r="L27" s="156"/>
      <c r="M27" s="157"/>
      <c r="N27" s="164"/>
      <c r="O27" s="165"/>
      <c r="P27" s="165"/>
      <c r="Q27" s="165"/>
      <c r="R27" s="165"/>
      <c r="S27" s="165"/>
      <c r="T27" s="165"/>
      <c r="U27" s="165"/>
      <c r="V27" s="165"/>
      <c r="W27" s="165"/>
      <c r="X27" s="165"/>
      <c r="Y27" s="165"/>
      <c r="Z27" s="165"/>
      <c r="AA27" s="165"/>
      <c r="AB27" s="165"/>
      <c r="AC27" s="165"/>
      <c r="AD27" s="165"/>
      <c r="AE27" s="165"/>
      <c r="AF27" s="165"/>
      <c r="AG27" s="165"/>
      <c r="AH27" s="166"/>
      <c r="AV27" s="65"/>
    </row>
    <row r="28" spans="1:49" ht="15" customHeight="1" x14ac:dyDescent="0.3">
      <c r="A28" s="167" t="e">
        <f ca="1">Лист1!A147</f>
        <v>#NAME?</v>
      </c>
      <c r="B28" s="167"/>
      <c r="C28" s="167"/>
      <c r="D28" s="167"/>
      <c r="E28" s="167"/>
      <c r="F28" s="167"/>
      <c r="G28" s="167"/>
      <c r="H28" s="167"/>
      <c r="I28" s="167"/>
      <c r="J28" s="167"/>
      <c r="K28" s="167"/>
      <c r="L28" s="167"/>
      <c r="M28" s="167"/>
      <c r="N28" s="167"/>
      <c r="O28" s="167"/>
      <c r="P28" s="167"/>
      <c r="Q28" s="167"/>
      <c r="R28" s="167"/>
      <c r="S28" s="167"/>
      <c r="T28" s="167"/>
      <c r="U28" s="167"/>
      <c r="V28" s="167"/>
      <c r="W28" s="167"/>
      <c r="X28" s="167"/>
      <c r="Y28" s="167"/>
      <c r="Z28" s="167"/>
      <c r="AA28" s="167"/>
      <c r="AB28" s="167"/>
      <c r="AC28" s="167"/>
      <c r="AD28" s="167"/>
      <c r="AE28" s="167"/>
      <c r="AF28" s="167"/>
      <c r="AG28" s="167"/>
      <c r="AH28" s="167"/>
    </row>
    <row r="29" spans="1:49" ht="15" customHeight="1" x14ac:dyDescent="0.3">
      <c r="A29" s="168"/>
      <c r="B29" s="168"/>
      <c r="C29" s="168"/>
      <c r="D29" s="168"/>
      <c r="E29" s="168"/>
      <c r="F29" s="168"/>
      <c r="G29" s="168"/>
      <c r="H29" s="168"/>
      <c r="I29" s="168"/>
      <c r="J29" s="168"/>
      <c r="K29" s="168"/>
      <c r="L29" s="168"/>
      <c r="M29" s="168"/>
      <c r="N29" s="168"/>
      <c r="O29" s="168"/>
      <c r="P29" s="168"/>
      <c r="Q29" s="168"/>
      <c r="R29" s="168"/>
      <c r="S29" s="168"/>
      <c r="T29" s="168"/>
      <c r="U29" s="168"/>
      <c r="V29" s="168"/>
      <c r="W29" s="168"/>
      <c r="X29" s="168"/>
      <c r="Y29" s="168"/>
      <c r="Z29" s="168"/>
      <c r="AA29" s="168"/>
      <c r="AB29" s="168"/>
      <c r="AC29" s="168"/>
      <c r="AD29" s="168"/>
      <c r="AE29" s="168"/>
      <c r="AF29" s="168"/>
      <c r="AG29" s="168"/>
      <c r="AH29" s="168"/>
    </row>
    <row r="30" spans="1:49" ht="15" customHeight="1" x14ac:dyDescent="0.3">
      <c r="A30" s="169" t="s">
        <v>401</v>
      </c>
      <c r="B30" s="169"/>
      <c r="C30" s="169"/>
      <c r="D30" s="169"/>
      <c r="E30" s="169"/>
      <c r="F30" s="169"/>
      <c r="G30" s="169"/>
      <c r="H30" s="169"/>
      <c r="I30" s="169"/>
      <c r="J30" s="169"/>
      <c r="K30" s="169"/>
      <c r="L30" s="169"/>
      <c r="M30" s="169"/>
      <c r="N30" s="169"/>
      <c r="O30" s="169"/>
      <c r="P30" s="169"/>
      <c r="Q30" s="169"/>
      <c r="R30" s="169"/>
      <c r="S30" s="169"/>
      <c r="T30" s="169"/>
      <c r="U30" s="169"/>
      <c r="V30" s="169"/>
      <c r="W30" s="169"/>
      <c r="X30" s="169"/>
      <c r="Y30" s="169"/>
      <c r="Z30" s="169"/>
      <c r="AA30" s="169"/>
      <c r="AB30" s="169"/>
      <c r="AC30" s="169"/>
      <c r="AD30" s="169"/>
      <c r="AE30" s="169"/>
      <c r="AF30" s="169"/>
      <c r="AG30" s="169"/>
      <c r="AH30" s="169"/>
    </row>
    <row r="31" spans="1:49" ht="15" customHeight="1" x14ac:dyDescent="0.3">
      <c r="A31" s="169"/>
      <c r="B31" s="169"/>
      <c r="C31" s="169"/>
      <c r="D31" s="169"/>
      <c r="E31" s="169"/>
      <c r="F31" s="169"/>
      <c r="G31" s="169"/>
      <c r="H31" s="169"/>
      <c r="I31" s="169"/>
      <c r="J31" s="169"/>
      <c r="K31" s="169"/>
      <c r="L31" s="169"/>
      <c r="M31" s="169"/>
      <c r="N31" s="169"/>
      <c r="O31" s="169"/>
      <c r="P31" s="169"/>
      <c r="Q31" s="169"/>
      <c r="R31" s="169"/>
      <c r="S31" s="169"/>
      <c r="T31" s="169"/>
      <c r="U31" s="169"/>
      <c r="V31" s="169"/>
      <c r="W31" s="169"/>
      <c r="X31" s="169"/>
      <c r="Y31" s="169"/>
      <c r="Z31" s="169"/>
      <c r="AA31" s="169"/>
      <c r="AB31" s="169"/>
      <c r="AC31" s="169"/>
      <c r="AD31" s="169"/>
      <c r="AE31" s="169"/>
      <c r="AF31" s="169"/>
      <c r="AG31" s="169"/>
      <c r="AH31" s="169"/>
    </row>
    <row r="33" spans="1:34" ht="15" customHeight="1" x14ac:dyDescent="0.3">
      <c r="A33" s="89" t="s">
        <v>402</v>
      </c>
      <c r="B33" s="89"/>
      <c r="C33" s="89"/>
      <c r="D33" s="89"/>
      <c r="E33" s="89"/>
      <c r="F33" s="89"/>
      <c r="G33" s="89"/>
      <c r="H33" s="89"/>
      <c r="I33" s="89"/>
      <c r="J33" s="89"/>
      <c r="K33" s="89"/>
      <c r="L33" s="89"/>
      <c r="M33" s="89"/>
      <c r="N33" s="89"/>
      <c r="O33" s="89"/>
      <c r="P33" s="89"/>
      <c r="Q33" s="89"/>
      <c r="R33" s="89"/>
      <c r="S33" s="89"/>
      <c r="T33" s="89"/>
      <c r="U33" s="89"/>
      <c r="V33" s="89"/>
      <c r="W33" s="89"/>
      <c r="X33" s="89"/>
      <c r="Y33" s="89"/>
      <c r="Z33" s="89"/>
      <c r="AA33" s="89"/>
      <c r="AB33" s="89"/>
      <c r="AC33" s="89"/>
      <c r="AD33" s="89"/>
      <c r="AE33" s="89"/>
      <c r="AF33" s="89"/>
      <c r="AG33" s="89"/>
      <c r="AH33" s="89"/>
    </row>
    <row r="34" spans="1:34" ht="15" customHeight="1" x14ac:dyDescent="0.3">
      <c r="P34" s="66"/>
      <c r="Q34" s="66"/>
      <c r="S34" s="66"/>
    </row>
    <row r="35" spans="1:34" ht="15" customHeight="1" x14ac:dyDescent="0.3">
      <c r="A35" s="141" t="s">
        <v>290</v>
      </c>
      <c r="B35" s="141"/>
      <c r="C35" s="141"/>
      <c r="D35" s="141"/>
      <c r="E35" s="141"/>
      <c r="F35" s="141"/>
      <c r="G35" s="141"/>
      <c r="P35" s="66"/>
      <c r="Q35" s="66"/>
      <c r="R35" s="66"/>
      <c r="S35" s="66"/>
      <c r="T35" s="141" t="s">
        <v>287</v>
      </c>
      <c r="U35" s="141"/>
      <c r="V35" s="141"/>
      <c r="W35" s="141"/>
      <c r="X35" s="141"/>
      <c r="Y35" s="141"/>
      <c r="Z35" s="141"/>
    </row>
    <row r="36" spans="1:34" ht="15" customHeight="1" x14ac:dyDescent="0.3">
      <c r="A36" s="171" t="str">
        <f>Лист1!A138</f>
        <v>Фамилия Имя Отчество, место рождения: дд.мм.гггг, дд.мм.гггг г.р., паспорт серии 0000 № 000000, выдан дд.мм.гггг г., Полностью как в паспорте, код подразделения 000-000, зарегестрированный по адресу: Область, город, улица, дом, корпус, квартира</v>
      </c>
      <c r="B36" s="171"/>
      <c r="C36" s="171"/>
      <c r="D36" s="171"/>
      <c r="E36" s="171"/>
      <c r="F36" s="171"/>
      <c r="G36" s="171"/>
      <c r="H36" s="171"/>
      <c r="I36" s="171"/>
      <c r="J36" s="171"/>
      <c r="K36" s="171"/>
      <c r="L36" s="171"/>
      <c r="M36" s="171"/>
      <c r="N36" s="171"/>
      <c r="O36" s="171"/>
      <c r="P36" s="66"/>
      <c r="Q36" s="66"/>
      <c r="R36" s="66"/>
      <c r="S36" s="66"/>
      <c r="T36" s="171" t="str">
        <f>Лист1!A140</f>
        <v>Швецов Евгений Мизайлович, место рождения: гор. Свердловск, 23.07.1981 г.р., паспорт серии 6504 № 426241, выдан 30.07.2003г., Орджоникидзевским РУВД города Екатеринбурга, код подразделения 662-007, зарегестрированный по адресу: Свердловская область г. Екатеринбург пер. Симбирский д. 2/4, кв. 115</v>
      </c>
      <c r="U36" s="171"/>
      <c r="V36" s="171"/>
      <c r="W36" s="171"/>
      <c r="X36" s="171"/>
      <c r="Y36" s="171"/>
      <c r="Z36" s="171"/>
      <c r="AA36" s="171"/>
      <c r="AB36" s="171"/>
      <c r="AC36" s="171"/>
      <c r="AD36" s="171"/>
      <c r="AE36" s="171"/>
      <c r="AF36" s="171"/>
      <c r="AG36" s="171"/>
      <c r="AH36" s="171"/>
    </row>
    <row r="37" spans="1:34" ht="15" customHeight="1" x14ac:dyDescent="0.3">
      <c r="A37" s="171"/>
      <c r="B37" s="171"/>
      <c r="C37" s="171"/>
      <c r="D37" s="171"/>
      <c r="E37" s="171"/>
      <c r="F37" s="171"/>
      <c r="G37" s="171"/>
      <c r="H37" s="171"/>
      <c r="I37" s="171"/>
      <c r="J37" s="171"/>
      <c r="K37" s="171"/>
      <c r="L37" s="171"/>
      <c r="M37" s="171"/>
      <c r="N37" s="171"/>
      <c r="O37" s="171"/>
      <c r="P37" s="66"/>
      <c r="Q37" s="66"/>
      <c r="R37" s="66"/>
      <c r="S37" s="66"/>
      <c r="T37" s="171"/>
      <c r="U37" s="171"/>
      <c r="V37" s="171"/>
      <c r="W37" s="171"/>
      <c r="X37" s="171"/>
      <c r="Y37" s="171"/>
      <c r="Z37" s="171"/>
      <c r="AA37" s="171"/>
      <c r="AB37" s="171"/>
      <c r="AC37" s="171"/>
      <c r="AD37" s="171"/>
      <c r="AE37" s="171"/>
      <c r="AF37" s="171"/>
      <c r="AG37" s="171"/>
      <c r="AH37" s="171"/>
    </row>
    <row r="38" spans="1:34" ht="15" customHeight="1" x14ac:dyDescent="0.3">
      <c r="A38" s="171"/>
      <c r="B38" s="171"/>
      <c r="C38" s="171"/>
      <c r="D38" s="171"/>
      <c r="E38" s="171"/>
      <c r="F38" s="171"/>
      <c r="G38" s="171"/>
      <c r="H38" s="171"/>
      <c r="I38" s="171"/>
      <c r="J38" s="171"/>
      <c r="K38" s="171"/>
      <c r="L38" s="171"/>
      <c r="M38" s="171"/>
      <c r="N38" s="171"/>
      <c r="O38" s="171"/>
      <c r="P38" s="66"/>
      <c r="Q38" s="66"/>
      <c r="R38" s="66"/>
      <c r="S38" s="66"/>
      <c r="T38" s="171"/>
      <c r="U38" s="171"/>
      <c r="V38" s="171"/>
      <c r="W38" s="171"/>
      <c r="X38" s="171"/>
      <c r="Y38" s="171"/>
      <c r="Z38" s="171"/>
      <c r="AA38" s="171"/>
      <c r="AB38" s="171"/>
      <c r="AC38" s="171"/>
      <c r="AD38" s="171"/>
      <c r="AE38" s="171"/>
      <c r="AF38" s="171"/>
      <c r="AG38" s="171"/>
      <c r="AH38" s="171"/>
    </row>
    <row r="39" spans="1:34" ht="15" customHeight="1" x14ac:dyDescent="0.3">
      <c r="A39" s="171"/>
      <c r="B39" s="171"/>
      <c r="C39" s="171"/>
      <c r="D39" s="171"/>
      <c r="E39" s="171"/>
      <c r="F39" s="171"/>
      <c r="G39" s="171"/>
      <c r="H39" s="171"/>
      <c r="I39" s="171"/>
      <c r="J39" s="171"/>
      <c r="K39" s="171"/>
      <c r="L39" s="171"/>
      <c r="M39" s="171"/>
      <c r="N39" s="171"/>
      <c r="O39" s="171"/>
      <c r="P39" s="66"/>
      <c r="Q39" s="66"/>
      <c r="R39" s="66"/>
      <c r="S39" s="66"/>
      <c r="T39" s="171"/>
      <c r="U39" s="171"/>
      <c r="V39" s="171"/>
      <c r="W39" s="171"/>
      <c r="X39" s="171"/>
      <c r="Y39" s="171"/>
      <c r="Z39" s="171"/>
      <c r="AA39" s="171"/>
      <c r="AB39" s="171"/>
      <c r="AC39" s="171"/>
      <c r="AD39" s="171"/>
      <c r="AE39" s="171"/>
      <c r="AF39" s="171"/>
      <c r="AG39" s="171"/>
      <c r="AH39" s="171"/>
    </row>
    <row r="40" spans="1:34" ht="15" customHeight="1" x14ac:dyDescent="0.3">
      <c r="A40" s="171"/>
      <c r="B40" s="171"/>
      <c r="C40" s="171"/>
      <c r="D40" s="171"/>
      <c r="E40" s="171"/>
      <c r="F40" s="171"/>
      <c r="G40" s="171"/>
      <c r="H40" s="171"/>
      <c r="I40" s="171"/>
      <c r="J40" s="171"/>
      <c r="K40" s="171"/>
      <c r="L40" s="171"/>
      <c r="M40" s="171"/>
      <c r="N40" s="171"/>
      <c r="O40" s="171"/>
      <c r="P40" s="66"/>
      <c r="Q40" s="66"/>
      <c r="R40" s="66"/>
      <c r="S40" s="66"/>
      <c r="T40" s="171"/>
      <c r="U40" s="171"/>
      <c r="V40" s="171"/>
      <c r="W40" s="171"/>
      <c r="X40" s="171"/>
      <c r="Y40" s="171"/>
      <c r="Z40" s="171"/>
      <c r="AA40" s="171"/>
      <c r="AB40" s="171"/>
      <c r="AC40" s="171"/>
      <c r="AD40" s="171"/>
      <c r="AE40" s="171"/>
      <c r="AF40" s="171"/>
      <c r="AG40" s="171"/>
      <c r="AH40" s="171"/>
    </row>
    <row r="41" spans="1:34" ht="15" customHeight="1" x14ac:dyDescent="0.3">
      <c r="A41" s="171"/>
      <c r="B41" s="171"/>
      <c r="C41" s="171"/>
      <c r="D41" s="171"/>
      <c r="E41" s="171"/>
      <c r="F41" s="171"/>
      <c r="G41" s="171"/>
      <c r="H41" s="171"/>
      <c r="I41" s="171"/>
      <c r="J41" s="171"/>
      <c r="K41" s="171"/>
      <c r="L41" s="171"/>
      <c r="M41" s="171"/>
      <c r="N41" s="171"/>
      <c r="O41" s="171"/>
      <c r="P41" s="66"/>
      <c r="Q41" s="66"/>
      <c r="R41" s="66"/>
      <c r="S41" s="66"/>
      <c r="T41" s="171"/>
      <c r="U41" s="171"/>
      <c r="V41" s="171"/>
      <c r="W41" s="171"/>
      <c r="X41" s="171"/>
      <c r="Y41" s="171"/>
      <c r="Z41" s="171"/>
      <c r="AA41" s="171"/>
      <c r="AB41" s="171"/>
      <c r="AC41" s="171"/>
      <c r="AD41" s="171"/>
      <c r="AE41" s="171"/>
      <c r="AF41" s="171"/>
      <c r="AG41" s="171"/>
      <c r="AH41" s="171"/>
    </row>
    <row r="42" spans="1:34" ht="15" customHeight="1" x14ac:dyDescent="0.3">
      <c r="A42" s="171"/>
      <c r="B42" s="171"/>
      <c r="C42" s="171"/>
      <c r="D42" s="171"/>
      <c r="E42" s="171"/>
      <c r="F42" s="171"/>
      <c r="G42" s="171"/>
      <c r="H42" s="171"/>
      <c r="I42" s="171"/>
      <c r="J42" s="171"/>
      <c r="K42" s="171"/>
      <c r="L42" s="171"/>
      <c r="M42" s="171"/>
      <c r="N42" s="171"/>
      <c r="O42" s="171"/>
      <c r="P42" s="66"/>
      <c r="Q42" s="66"/>
      <c r="R42" s="66"/>
      <c r="S42" s="66"/>
      <c r="T42" s="171"/>
      <c r="U42" s="171"/>
      <c r="V42" s="171"/>
      <c r="W42" s="171"/>
      <c r="X42" s="171"/>
      <c r="Y42" s="171"/>
      <c r="Z42" s="171"/>
      <c r="AA42" s="171"/>
      <c r="AB42" s="171"/>
      <c r="AC42" s="171"/>
      <c r="AD42" s="171"/>
      <c r="AE42" s="171"/>
      <c r="AF42" s="171"/>
      <c r="AG42" s="171"/>
      <c r="AH42" s="171"/>
    </row>
    <row r="43" spans="1:34" ht="15" customHeight="1" x14ac:dyDescent="0.3">
      <c r="A43" s="171"/>
      <c r="B43" s="171"/>
      <c r="C43" s="171"/>
      <c r="D43" s="171"/>
      <c r="E43" s="171"/>
      <c r="F43" s="171"/>
      <c r="G43" s="171"/>
      <c r="H43" s="171"/>
      <c r="I43" s="171"/>
      <c r="J43" s="171"/>
      <c r="K43" s="171"/>
      <c r="L43" s="171"/>
      <c r="M43" s="171"/>
      <c r="N43" s="171"/>
      <c r="O43" s="171"/>
      <c r="P43" s="66"/>
      <c r="Q43" s="66"/>
      <c r="R43" s="66"/>
      <c r="S43" s="66"/>
      <c r="T43" s="171"/>
      <c r="U43" s="171"/>
      <c r="V43" s="171"/>
      <c r="W43" s="171"/>
      <c r="X43" s="171"/>
      <c r="Y43" s="171"/>
      <c r="Z43" s="171"/>
      <c r="AA43" s="171"/>
      <c r="AB43" s="171"/>
      <c r="AC43" s="171"/>
      <c r="AD43" s="171"/>
      <c r="AE43" s="171"/>
      <c r="AF43" s="171"/>
      <c r="AG43" s="171"/>
      <c r="AH43" s="171"/>
    </row>
    <row r="44" spans="1:34" ht="15" customHeight="1" x14ac:dyDescent="0.3">
      <c r="A44" s="171"/>
      <c r="B44" s="171"/>
      <c r="C44" s="171"/>
      <c r="D44" s="171"/>
      <c r="E44" s="171"/>
      <c r="F44" s="171"/>
      <c r="G44" s="171"/>
      <c r="H44" s="171"/>
      <c r="I44" s="171"/>
      <c r="J44" s="171"/>
      <c r="K44" s="171"/>
      <c r="L44" s="171"/>
      <c r="M44" s="171"/>
      <c r="N44" s="171"/>
      <c r="O44" s="171"/>
      <c r="P44" s="66"/>
      <c r="Q44" s="66"/>
      <c r="R44" s="66"/>
      <c r="S44" s="66"/>
      <c r="T44" s="171"/>
      <c r="U44" s="171"/>
      <c r="V44" s="171"/>
      <c r="W44" s="171"/>
      <c r="X44" s="171"/>
      <c r="Y44" s="171"/>
      <c r="Z44" s="171"/>
      <c r="AA44" s="171"/>
      <c r="AB44" s="171"/>
      <c r="AC44" s="171"/>
      <c r="AD44" s="171"/>
      <c r="AE44" s="171"/>
      <c r="AF44" s="171"/>
      <c r="AG44" s="171"/>
      <c r="AH44" s="171"/>
    </row>
    <row r="45" spans="1:34" ht="15" customHeight="1" x14ac:dyDescent="0.3">
      <c r="A45" s="171"/>
      <c r="B45" s="171"/>
      <c r="C45" s="171"/>
      <c r="D45" s="171"/>
      <c r="E45" s="171"/>
      <c r="F45" s="171"/>
      <c r="G45" s="171"/>
      <c r="H45" s="171"/>
      <c r="I45" s="171"/>
      <c r="J45" s="171"/>
      <c r="K45" s="171"/>
      <c r="L45" s="171"/>
      <c r="M45" s="171"/>
      <c r="N45" s="171"/>
      <c r="O45" s="171"/>
      <c r="P45" s="66"/>
      <c r="Q45" s="66"/>
      <c r="R45" s="66"/>
      <c r="S45" s="66"/>
      <c r="T45" s="171"/>
      <c r="U45" s="171"/>
      <c r="V45" s="171"/>
      <c r="W45" s="171"/>
      <c r="X45" s="171"/>
      <c r="Y45" s="171"/>
      <c r="Z45" s="171"/>
      <c r="AA45" s="171"/>
      <c r="AB45" s="171"/>
      <c r="AC45" s="171"/>
      <c r="AD45" s="171"/>
      <c r="AE45" s="171"/>
      <c r="AF45" s="171"/>
      <c r="AG45" s="171"/>
      <c r="AH45" s="171"/>
    </row>
    <row r="46" spans="1:34" ht="15" customHeight="1" x14ac:dyDescent="0.3">
      <c r="A46" s="171"/>
      <c r="B46" s="171"/>
      <c r="C46" s="171"/>
      <c r="D46" s="171"/>
      <c r="E46" s="171"/>
      <c r="F46" s="171"/>
      <c r="G46" s="171"/>
      <c r="H46" s="171"/>
      <c r="I46" s="171"/>
      <c r="J46" s="171"/>
      <c r="K46" s="171"/>
      <c r="L46" s="171"/>
      <c r="M46" s="171"/>
      <c r="N46" s="171"/>
      <c r="O46" s="171"/>
      <c r="P46" s="66"/>
      <c r="Q46" s="66"/>
      <c r="R46" s="66"/>
      <c r="S46" s="66"/>
      <c r="T46" s="171"/>
      <c r="U46" s="171"/>
      <c r="V46" s="171"/>
      <c r="W46" s="171"/>
      <c r="X46" s="171"/>
      <c r="Y46" s="171"/>
      <c r="Z46" s="171"/>
      <c r="AA46" s="171"/>
      <c r="AB46" s="171"/>
      <c r="AC46" s="171"/>
      <c r="AD46" s="171"/>
      <c r="AE46" s="171"/>
      <c r="AF46" s="171"/>
      <c r="AG46" s="171"/>
      <c r="AH46" s="171"/>
    </row>
    <row r="48" spans="1:34" ht="15" customHeight="1" x14ac:dyDescent="0.3">
      <c r="A48" s="147" t="s">
        <v>403</v>
      </c>
      <c r="B48" s="147"/>
      <c r="C48" s="147"/>
      <c r="D48" s="147"/>
      <c r="E48" s="147"/>
      <c r="F48" s="147"/>
      <c r="G48" s="141" t="str">
        <f>'Данные Клиента Продавца и Авто'!B6</f>
        <v>Фамилия И.О.</v>
      </c>
      <c r="H48" s="141"/>
      <c r="I48" s="141"/>
      <c r="J48" s="141"/>
      <c r="K48" s="141"/>
      <c r="L48" s="141"/>
      <c r="M48" s="141"/>
      <c r="N48" s="141"/>
      <c r="O48" s="141"/>
      <c r="T48" s="147" t="s">
        <v>403</v>
      </c>
      <c r="U48" s="147"/>
      <c r="V48" s="147"/>
      <c r="W48" s="147"/>
      <c r="X48" s="147"/>
      <c r="Y48" s="147"/>
      <c r="Z48" s="141" t="str">
        <f>'Данные Продажи'!B5</f>
        <v>Швецов Е.М.</v>
      </c>
      <c r="AA48" s="141"/>
      <c r="AB48" s="141"/>
      <c r="AC48" s="141"/>
      <c r="AD48" s="141"/>
      <c r="AE48" s="141"/>
      <c r="AF48" s="141"/>
      <c r="AG48" s="141"/>
      <c r="AH48" s="141"/>
    </row>
    <row r="49" spans="7:34" ht="15" customHeight="1" x14ac:dyDescent="0.3">
      <c r="G49" s="170"/>
      <c r="H49" s="170"/>
      <c r="I49" s="170"/>
      <c r="J49" s="170"/>
      <c r="K49" s="170"/>
      <c r="L49" s="170"/>
      <c r="M49" s="170"/>
      <c r="N49" s="170"/>
      <c r="O49" s="170"/>
      <c r="Z49" s="170"/>
      <c r="AA49" s="170"/>
      <c r="AB49" s="170"/>
      <c r="AC49" s="170"/>
      <c r="AD49" s="170"/>
      <c r="AE49" s="170"/>
      <c r="AF49" s="170"/>
      <c r="AG49" s="170"/>
      <c r="AH49" s="170"/>
    </row>
  </sheetData>
  <mergeCells count="37">
    <mergeCell ref="G49:O49"/>
    <mergeCell ref="Z49:AH49"/>
    <mergeCell ref="A36:O46"/>
    <mergeCell ref="T36:AH46"/>
    <mergeCell ref="A48:F48"/>
    <mergeCell ref="G48:O48"/>
    <mergeCell ref="T48:Y48"/>
    <mergeCell ref="Z48:AH48"/>
    <mergeCell ref="N22:AH22"/>
    <mergeCell ref="A35:G35"/>
    <mergeCell ref="T35:Z35"/>
    <mergeCell ref="A25:M27"/>
    <mergeCell ref="N25:AH27"/>
    <mergeCell ref="A28:AH29"/>
    <mergeCell ref="A30:AH31"/>
    <mergeCell ref="A33:AH33"/>
    <mergeCell ref="A1:AH1"/>
    <mergeCell ref="A2:AH2"/>
    <mergeCell ref="A4:L4"/>
    <mergeCell ref="AB4:AH4"/>
    <mergeCell ref="A5:AH14"/>
    <mergeCell ref="A15:AH15"/>
    <mergeCell ref="A23:M23"/>
    <mergeCell ref="N23:AH23"/>
    <mergeCell ref="N24:AH24"/>
    <mergeCell ref="A24:M24"/>
    <mergeCell ref="A17:M17"/>
    <mergeCell ref="N17:AH17"/>
    <mergeCell ref="A18:M18"/>
    <mergeCell ref="N18:AH18"/>
    <mergeCell ref="A19:M19"/>
    <mergeCell ref="N19:AH19"/>
    <mergeCell ref="A20:M20"/>
    <mergeCell ref="N20:AH20"/>
    <mergeCell ref="A21:M21"/>
    <mergeCell ref="N21:AH21"/>
    <mergeCell ref="A22:M22"/>
  </mergeCells>
  <pageMargins left="0.39370078740157483" right="0.19685039370078741" top="0.74803149606299213" bottom="0.74803149606299213" header="0.31496062992125984" footer="0.31496062992125984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24">
    <tabColor rgb="FFFFFF00"/>
  </sheetPr>
  <dimension ref="A1:AW50"/>
  <sheetViews>
    <sheetView view="pageLayout" topLeftCell="A10" zoomScaleNormal="100" workbookViewId="0">
      <selection activeCell="Y35" sqref="Y35"/>
    </sheetView>
  </sheetViews>
  <sheetFormatPr defaultColWidth="2.77734375" defaultRowHeight="14.4" x14ac:dyDescent="0.3"/>
  <sheetData>
    <row r="1" spans="1:48" ht="15" customHeight="1" x14ac:dyDescent="0.3">
      <c r="A1" s="144" t="s">
        <v>398</v>
      </c>
      <c r="B1" s="144"/>
      <c r="C1" s="144"/>
      <c r="D1" s="144"/>
      <c r="E1" s="144"/>
      <c r="F1" s="144"/>
      <c r="G1" s="144"/>
      <c r="H1" s="144"/>
      <c r="I1" s="144"/>
      <c r="J1" s="144"/>
      <c r="K1" s="144"/>
      <c r="L1" s="144"/>
      <c r="M1" s="144"/>
      <c r="N1" s="144"/>
      <c r="O1" s="144"/>
      <c r="P1" s="144"/>
      <c r="Q1" s="144"/>
      <c r="R1" s="144"/>
      <c r="S1" s="144"/>
      <c r="T1" s="144"/>
      <c r="U1" s="144"/>
      <c r="V1" s="144"/>
      <c r="W1" s="144"/>
      <c r="X1" s="144"/>
      <c r="Y1" s="144"/>
      <c r="Z1" s="144"/>
      <c r="AA1" s="144"/>
      <c r="AB1" s="144"/>
      <c r="AC1" s="144"/>
      <c r="AD1" s="144"/>
      <c r="AE1" s="144"/>
      <c r="AF1" s="144"/>
      <c r="AG1" s="144"/>
      <c r="AH1" s="144"/>
    </row>
    <row r="2" spans="1:48" ht="15" customHeight="1" x14ac:dyDescent="0.3">
      <c r="A2" s="145" t="s">
        <v>399</v>
      </c>
      <c r="B2" s="145"/>
      <c r="C2" s="145"/>
      <c r="D2" s="145"/>
      <c r="E2" s="145"/>
      <c r="F2" s="145"/>
      <c r="G2" s="145"/>
      <c r="H2" s="145"/>
      <c r="I2" s="145"/>
      <c r="J2" s="145"/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</row>
    <row r="3" spans="1:48" ht="15" customHeight="1" x14ac:dyDescent="0.3">
      <c r="A3" s="58"/>
    </row>
    <row r="4" spans="1:48" ht="15" customHeight="1" x14ac:dyDescent="0.3">
      <c r="A4" s="142"/>
      <c r="B4" s="142"/>
      <c r="C4" s="142"/>
      <c r="D4" s="142"/>
      <c r="E4" s="142"/>
      <c r="F4" s="142"/>
      <c r="G4" s="142"/>
      <c r="H4" s="142"/>
      <c r="I4" s="142"/>
      <c r="J4" s="142"/>
      <c r="K4" s="142"/>
      <c r="L4" s="142"/>
      <c r="AB4" s="146"/>
      <c r="AC4" s="147"/>
      <c r="AD4" s="147"/>
      <c r="AE4" s="147"/>
      <c r="AF4" s="147"/>
      <c r="AG4" s="147"/>
      <c r="AH4" s="147"/>
    </row>
    <row r="5" spans="1:48" ht="15" customHeight="1" x14ac:dyDescent="0.3">
      <c r="A5" s="148"/>
      <c r="B5" s="148"/>
      <c r="C5" s="148"/>
      <c r="D5" s="148"/>
      <c r="E5" s="148"/>
      <c r="F5" s="148"/>
      <c r="G5" s="148"/>
      <c r="H5" s="148"/>
      <c r="I5" s="148"/>
      <c r="J5" s="148"/>
      <c r="K5" s="148"/>
      <c r="L5" s="148"/>
      <c r="M5" s="148"/>
      <c r="N5" s="148"/>
      <c r="O5" s="148"/>
      <c r="P5" s="148"/>
      <c r="Q5" s="148"/>
      <c r="R5" s="148"/>
      <c r="S5" s="148"/>
      <c r="T5" s="148"/>
      <c r="U5" s="148"/>
      <c r="V5" s="148"/>
      <c r="W5" s="148"/>
      <c r="X5" s="148"/>
      <c r="Y5" s="148"/>
      <c r="Z5" s="148"/>
      <c r="AA5" s="148"/>
      <c r="AB5" s="148"/>
      <c r="AC5" s="148"/>
      <c r="AD5" s="148"/>
      <c r="AE5" s="148"/>
      <c r="AF5" s="148"/>
      <c r="AG5" s="148"/>
      <c r="AH5" s="148"/>
    </row>
    <row r="6" spans="1:48" ht="15" customHeight="1" x14ac:dyDescent="0.3">
      <c r="A6" s="148"/>
      <c r="B6" s="148"/>
      <c r="C6" s="148"/>
      <c r="D6" s="148"/>
      <c r="E6" s="148"/>
      <c r="F6" s="148"/>
      <c r="G6" s="148"/>
      <c r="H6" s="148"/>
      <c r="I6" s="148"/>
      <c r="J6" s="148"/>
      <c r="K6" s="148"/>
      <c r="L6" s="148"/>
      <c r="M6" s="148"/>
      <c r="N6" s="148"/>
      <c r="O6" s="148"/>
      <c r="P6" s="148"/>
      <c r="Q6" s="148"/>
      <c r="R6" s="148"/>
      <c r="S6" s="148"/>
      <c r="T6" s="148"/>
      <c r="U6" s="148"/>
      <c r="V6" s="148"/>
      <c r="W6" s="148"/>
      <c r="X6" s="148"/>
      <c r="Y6" s="148"/>
      <c r="Z6" s="148"/>
      <c r="AA6" s="148"/>
      <c r="AB6" s="148"/>
      <c r="AC6" s="148"/>
      <c r="AD6" s="148"/>
      <c r="AE6" s="148"/>
      <c r="AF6" s="148"/>
      <c r="AG6" s="148"/>
      <c r="AH6" s="148"/>
    </row>
    <row r="7" spans="1:48" ht="15" customHeight="1" x14ac:dyDescent="0.3">
      <c r="A7" s="148"/>
      <c r="B7" s="148"/>
      <c r="C7" s="148"/>
      <c r="D7" s="148"/>
      <c r="E7" s="148"/>
      <c r="F7" s="148"/>
      <c r="G7" s="148"/>
      <c r="H7" s="148"/>
      <c r="I7" s="148"/>
      <c r="J7" s="148"/>
      <c r="K7" s="148"/>
      <c r="L7" s="148"/>
      <c r="M7" s="148"/>
      <c r="N7" s="148"/>
      <c r="O7" s="148"/>
      <c r="P7" s="148"/>
      <c r="Q7" s="148"/>
      <c r="R7" s="148"/>
      <c r="S7" s="148"/>
      <c r="T7" s="148"/>
      <c r="U7" s="148"/>
      <c r="V7" s="148"/>
      <c r="W7" s="148"/>
      <c r="X7" s="148"/>
      <c r="Y7" s="148"/>
      <c r="Z7" s="148"/>
      <c r="AA7" s="148"/>
      <c r="AB7" s="148"/>
      <c r="AC7" s="148"/>
      <c r="AD7" s="148"/>
      <c r="AE7" s="148"/>
      <c r="AF7" s="148"/>
      <c r="AG7" s="148"/>
      <c r="AH7" s="148"/>
    </row>
    <row r="8" spans="1:48" ht="15" customHeight="1" x14ac:dyDescent="0.3">
      <c r="A8" s="148"/>
      <c r="B8" s="148"/>
      <c r="C8" s="148"/>
      <c r="D8" s="148"/>
      <c r="E8" s="148"/>
      <c r="F8" s="148"/>
      <c r="G8" s="148"/>
      <c r="H8" s="148"/>
      <c r="I8" s="148"/>
      <c r="J8" s="148"/>
      <c r="K8" s="148"/>
      <c r="L8" s="148"/>
      <c r="M8" s="148"/>
      <c r="N8" s="148"/>
      <c r="O8" s="148"/>
      <c r="P8" s="148"/>
      <c r="Q8" s="148"/>
      <c r="R8" s="148"/>
      <c r="S8" s="148"/>
      <c r="T8" s="148"/>
      <c r="U8" s="148"/>
      <c r="V8" s="148"/>
      <c r="W8" s="148"/>
      <c r="X8" s="148"/>
      <c r="Y8" s="148"/>
      <c r="Z8" s="148"/>
      <c r="AA8" s="148"/>
      <c r="AB8" s="148"/>
      <c r="AC8" s="148"/>
      <c r="AD8" s="148"/>
      <c r="AE8" s="148"/>
      <c r="AF8" s="148"/>
      <c r="AG8" s="148"/>
      <c r="AH8" s="148"/>
    </row>
    <row r="9" spans="1:48" ht="15" customHeight="1" x14ac:dyDescent="0.3">
      <c r="A9" s="148"/>
      <c r="B9" s="148"/>
      <c r="C9" s="148"/>
      <c r="D9" s="148"/>
      <c r="E9" s="148"/>
      <c r="F9" s="148"/>
      <c r="G9" s="148"/>
      <c r="H9" s="148"/>
      <c r="I9" s="148"/>
      <c r="J9" s="148"/>
      <c r="K9" s="148"/>
      <c r="L9" s="148"/>
      <c r="M9" s="148"/>
      <c r="N9" s="148"/>
      <c r="O9" s="148"/>
      <c r="P9" s="148"/>
      <c r="Q9" s="148"/>
      <c r="R9" s="148"/>
      <c r="S9" s="148"/>
      <c r="T9" s="148"/>
      <c r="U9" s="148"/>
      <c r="V9" s="148"/>
      <c r="W9" s="148"/>
      <c r="X9" s="148"/>
      <c r="Y9" s="148"/>
      <c r="Z9" s="148"/>
      <c r="AA9" s="148"/>
      <c r="AB9" s="148"/>
      <c r="AC9" s="148"/>
      <c r="AD9" s="148"/>
      <c r="AE9" s="148"/>
      <c r="AF9" s="148"/>
      <c r="AG9" s="148"/>
      <c r="AH9" s="148"/>
    </row>
    <row r="10" spans="1:48" ht="15" customHeight="1" x14ac:dyDescent="0.3">
      <c r="A10" s="148"/>
      <c r="B10" s="148"/>
      <c r="C10" s="148"/>
      <c r="D10" s="148"/>
      <c r="E10" s="148"/>
      <c r="F10" s="148"/>
      <c r="G10" s="148"/>
      <c r="H10" s="148"/>
      <c r="I10" s="148"/>
      <c r="J10" s="148"/>
      <c r="K10" s="148"/>
      <c r="L10" s="148"/>
      <c r="M10" s="148"/>
      <c r="N10" s="148"/>
      <c r="O10" s="148"/>
      <c r="P10" s="148"/>
      <c r="Q10" s="148"/>
      <c r="R10" s="148"/>
      <c r="S10" s="148"/>
      <c r="T10" s="148"/>
      <c r="U10" s="148"/>
      <c r="V10" s="148"/>
      <c r="W10" s="148"/>
      <c r="X10" s="148"/>
      <c r="Y10" s="148"/>
      <c r="Z10" s="148"/>
      <c r="AA10" s="148"/>
      <c r="AB10" s="148"/>
      <c r="AC10" s="148"/>
      <c r="AD10" s="148"/>
      <c r="AE10" s="148"/>
      <c r="AF10" s="148"/>
      <c r="AG10" s="148"/>
      <c r="AH10" s="148"/>
    </row>
    <row r="11" spans="1:48" ht="15" customHeight="1" x14ac:dyDescent="0.3">
      <c r="A11" s="148"/>
      <c r="B11" s="148"/>
      <c r="C11" s="148"/>
      <c r="D11" s="148"/>
      <c r="E11" s="148"/>
      <c r="F11" s="148"/>
      <c r="G11" s="148"/>
      <c r="H11" s="148"/>
      <c r="I11" s="148"/>
      <c r="J11" s="148"/>
      <c r="K11" s="148"/>
      <c r="L11" s="148"/>
      <c r="M11" s="148"/>
      <c r="N11" s="148"/>
      <c r="O11" s="148"/>
      <c r="P11" s="148"/>
      <c r="Q11" s="148"/>
      <c r="R11" s="148"/>
      <c r="S11" s="148"/>
      <c r="T11" s="148"/>
      <c r="U11" s="148"/>
      <c r="V11" s="148"/>
      <c r="W11" s="148"/>
      <c r="X11" s="148"/>
      <c r="Y11" s="148"/>
      <c r="Z11" s="148"/>
      <c r="AA11" s="148"/>
      <c r="AB11" s="148"/>
      <c r="AC11" s="148"/>
      <c r="AD11" s="148"/>
      <c r="AE11" s="148"/>
      <c r="AF11" s="148"/>
      <c r="AG11" s="148"/>
      <c r="AH11" s="148"/>
    </row>
    <row r="12" spans="1:48" ht="15" customHeight="1" x14ac:dyDescent="0.3">
      <c r="A12" s="148"/>
      <c r="B12" s="148"/>
      <c r="C12" s="148"/>
      <c r="D12" s="148"/>
      <c r="E12" s="148"/>
      <c r="F12" s="148"/>
      <c r="G12" s="148"/>
      <c r="H12" s="148"/>
      <c r="I12" s="148"/>
      <c r="J12" s="148"/>
      <c r="K12" s="148"/>
      <c r="L12" s="148"/>
      <c r="M12" s="148"/>
      <c r="N12" s="148"/>
      <c r="O12" s="148"/>
      <c r="P12" s="148"/>
      <c r="Q12" s="148"/>
      <c r="R12" s="148"/>
      <c r="S12" s="148"/>
      <c r="T12" s="148"/>
      <c r="U12" s="148"/>
      <c r="V12" s="148"/>
      <c r="W12" s="148"/>
      <c r="X12" s="148"/>
      <c r="Y12" s="148"/>
      <c r="Z12" s="148"/>
      <c r="AA12" s="148"/>
      <c r="AB12" s="148"/>
      <c r="AC12" s="148"/>
      <c r="AD12" s="148"/>
      <c r="AE12" s="148"/>
      <c r="AF12" s="148"/>
      <c r="AG12" s="148"/>
      <c r="AH12" s="148"/>
    </row>
    <row r="13" spans="1:48" ht="15" customHeight="1" x14ac:dyDescent="0.3">
      <c r="A13" s="148"/>
      <c r="B13" s="148"/>
      <c r="C13" s="148"/>
      <c r="D13" s="148"/>
      <c r="E13" s="148"/>
      <c r="F13" s="148"/>
      <c r="G13" s="148"/>
      <c r="H13" s="148"/>
      <c r="I13" s="148"/>
      <c r="J13" s="148"/>
      <c r="K13" s="148"/>
      <c r="L13" s="148"/>
      <c r="M13" s="148"/>
      <c r="N13" s="148"/>
      <c r="O13" s="148"/>
      <c r="P13" s="148"/>
      <c r="Q13" s="148"/>
      <c r="R13" s="148"/>
      <c r="S13" s="148"/>
      <c r="T13" s="148"/>
      <c r="U13" s="148"/>
      <c r="V13" s="148"/>
      <c r="W13" s="148"/>
      <c r="X13" s="148"/>
      <c r="Y13" s="148"/>
      <c r="Z13" s="148"/>
      <c r="AA13" s="148"/>
      <c r="AB13" s="148"/>
      <c r="AC13" s="148"/>
      <c r="AD13" s="148"/>
      <c r="AE13" s="148"/>
      <c r="AF13" s="148"/>
      <c r="AG13" s="148"/>
      <c r="AH13" s="148"/>
    </row>
    <row r="14" spans="1:48" ht="15" customHeight="1" x14ac:dyDescent="0.3">
      <c r="A14" s="148"/>
      <c r="B14" s="148"/>
      <c r="C14" s="148"/>
      <c r="D14" s="148"/>
      <c r="E14" s="148"/>
      <c r="F14" s="148"/>
      <c r="G14" s="148"/>
      <c r="H14" s="148"/>
      <c r="I14" s="148"/>
      <c r="J14" s="148"/>
      <c r="K14" s="148"/>
      <c r="L14" s="148"/>
      <c r="M14" s="148"/>
      <c r="N14" s="148"/>
      <c r="O14" s="148"/>
      <c r="P14" s="148"/>
      <c r="Q14" s="148"/>
      <c r="R14" s="148"/>
      <c r="S14" s="148"/>
      <c r="T14" s="148"/>
      <c r="U14" s="148"/>
      <c r="V14" s="148"/>
      <c r="W14" s="148"/>
      <c r="X14" s="148"/>
      <c r="Y14" s="148"/>
      <c r="Z14" s="148"/>
      <c r="AA14" s="148"/>
      <c r="AB14" s="148"/>
      <c r="AC14" s="148"/>
      <c r="AD14" s="148"/>
      <c r="AE14" s="148"/>
      <c r="AF14" s="148"/>
      <c r="AG14" s="148"/>
      <c r="AH14" s="148"/>
    </row>
    <row r="15" spans="1:48" ht="15" customHeight="1" x14ac:dyDescent="0.3">
      <c r="A15" s="142" t="s">
        <v>400</v>
      </c>
      <c r="B15" s="142"/>
      <c r="C15" s="142"/>
      <c r="D15" s="142"/>
      <c r="E15" s="142"/>
      <c r="F15" s="142"/>
      <c r="G15" s="142"/>
      <c r="H15" s="142"/>
      <c r="I15" s="142"/>
      <c r="J15" s="142"/>
      <c r="K15" s="142"/>
      <c r="L15" s="142"/>
      <c r="M15" s="142"/>
      <c r="N15" s="142"/>
      <c r="O15" s="142"/>
      <c r="P15" s="142"/>
      <c r="Q15" s="142"/>
      <c r="R15" s="142"/>
      <c r="S15" s="142"/>
      <c r="T15" s="142"/>
      <c r="U15" s="142"/>
      <c r="V15" s="142"/>
      <c r="W15" s="142"/>
      <c r="X15" s="142"/>
      <c r="Y15" s="142"/>
      <c r="Z15" s="142"/>
      <c r="AA15" s="142"/>
      <c r="AB15" s="142"/>
      <c r="AC15" s="142"/>
      <c r="AD15" s="142"/>
      <c r="AE15" s="142"/>
      <c r="AF15" s="142"/>
      <c r="AG15" s="142"/>
      <c r="AH15" s="142"/>
    </row>
    <row r="16" spans="1:48" ht="15" customHeight="1" x14ac:dyDescent="0.3">
      <c r="AV16" s="59"/>
    </row>
    <row r="17" spans="1:49" ht="15" customHeight="1" x14ac:dyDescent="0.3">
      <c r="A17" s="143" t="str">
        <f>'Данные Клиента Продавца и Авто'!A19</f>
        <v xml:space="preserve">Идентификационный номер (VIN): </v>
      </c>
      <c r="B17" s="143"/>
      <c r="C17" s="143"/>
      <c r="D17" s="143"/>
      <c r="E17" s="143"/>
      <c r="F17" s="143"/>
      <c r="G17" s="143"/>
      <c r="H17" s="143"/>
      <c r="I17" s="143"/>
      <c r="J17" s="143"/>
      <c r="K17" s="143"/>
      <c r="L17" s="143"/>
      <c r="M17" s="143"/>
      <c r="N17" s="143" t="str">
        <f>'Данные Клиента Продавца и Авто'!B19</f>
        <v>VIN</v>
      </c>
      <c r="O17" s="143"/>
      <c r="P17" s="143"/>
      <c r="Q17" s="143"/>
      <c r="R17" s="143"/>
      <c r="S17" s="143"/>
      <c r="T17" s="143"/>
      <c r="U17" s="143"/>
      <c r="V17" s="143"/>
      <c r="W17" s="143"/>
      <c r="X17" s="143"/>
      <c r="Y17" s="143"/>
      <c r="Z17" s="143"/>
      <c r="AA17" s="143"/>
      <c r="AB17" s="143"/>
      <c r="AC17" s="143"/>
      <c r="AD17" s="143"/>
      <c r="AE17" s="143"/>
      <c r="AF17" s="143"/>
      <c r="AG17" s="143"/>
      <c r="AH17" s="143"/>
      <c r="AV17" s="60"/>
    </row>
    <row r="18" spans="1:49" ht="15" customHeight="1" x14ac:dyDescent="0.3">
      <c r="A18" s="143" t="str">
        <f>'Данные Клиента Продавца и Авто'!A20</f>
        <v>Марка, модель:</v>
      </c>
      <c r="B18" s="143"/>
      <c r="C18" s="143"/>
      <c r="D18" s="143"/>
      <c r="E18" s="143"/>
      <c r="F18" s="143"/>
      <c r="G18" s="143"/>
      <c r="H18" s="143"/>
      <c r="I18" s="143"/>
      <c r="J18" s="143"/>
      <c r="K18" s="143"/>
      <c r="L18" s="143"/>
      <c r="M18" s="143"/>
      <c r="N18" s="143" t="str">
        <f>'Данные Клиента Продавца и Авто'!B20</f>
        <v>Марка, модель</v>
      </c>
      <c r="O18" s="143"/>
      <c r="P18" s="143"/>
      <c r="Q18" s="143"/>
      <c r="R18" s="143"/>
      <c r="S18" s="143"/>
      <c r="T18" s="143"/>
      <c r="U18" s="143"/>
      <c r="V18" s="143"/>
      <c r="W18" s="143"/>
      <c r="X18" s="143"/>
      <c r="Y18" s="143"/>
      <c r="Z18" s="143"/>
      <c r="AA18" s="143"/>
      <c r="AB18" s="143"/>
      <c r="AC18" s="143"/>
      <c r="AD18" s="143"/>
      <c r="AE18" s="143"/>
      <c r="AF18" s="143"/>
      <c r="AG18" s="143"/>
      <c r="AH18" s="143"/>
      <c r="AV18" s="59"/>
    </row>
    <row r="19" spans="1:49" ht="15" customHeight="1" x14ac:dyDescent="0.3">
      <c r="A19" s="143" t="str">
        <f>'Данные Клиента Продавца и Авто'!A21</f>
        <v xml:space="preserve">Наименование (тип ТС): </v>
      </c>
      <c r="B19" s="143"/>
      <c r="C19" s="143"/>
      <c r="D19" s="143"/>
      <c r="E19" s="143"/>
      <c r="F19" s="143"/>
      <c r="G19" s="143"/>
      <c r="H19" s="143"/>
      <c r="I19" s="143"/>
      <c r="J19" s="143"/>
      <c r="K19" s="143"/>
      <c r="L19" s="143"/>
      <c r="M19" s="143"/>
      <c r="N19" s="143" t="str">
        <f>'Данные Клиента Продавца и Авто'!B21</f>
        <v xml:space="preserve">легковой </v>
      </c>
      <c r="O19" s="143"/>
      <c r="P19" s="143"/>
      <c r="Q19" s="143"/>
      <c r="R19" s="143"/>
      <c r="S19" s="143"/>
      <c r="T19" s="143"/>
      <c r="U19" s="143"/>
      <c r="V19" s="143"/>
      <c r="W19" s="143"/>
      <c r="X19" s="143"/>
      <c r="Y19" s="143"/>
      <c r="Z19" s="143"/>
      <c r="AA19" s="143"/>
      <c r="AB19" s="143"/>
      <c r="AC19" s="143"/>
      <c r="AD19" s="143"/>
      <c r="AE19" s="143"/>
      <c r="AF19" s="143"/>
      <c r="AG19" s="143"/>
      <c r="AH19" s="143"/>
      <c r="AV19" s="58"/>
    </row>
    <row r="20" spans="1:49" ht="15" customHeight="1" x14ac:dyDescent="0.3">
      <c r="A20" s="143" t="str">
        <f>'Данные Клиента Продавца и Авто'!A22</f>
        <v>Категория ТС (A, B, C, D, прицеп):</v>
      </c>
      <c r="B20" s="143"/>
      <c r="C20" s="143"/>
      <c r="D20" s="143"/>
      <c r="E20" s="143"/>
      <c r="F20" s="143"/>
      <c r="G20" s="143"/>
      <c r="H20" s="143"/>
      <c r="I20" s="143"/>
      <c r="J20" s="143"/>
      <c r="K20" s="143"/>
      <c r="L20" s="143"/>
      <c r="M20" s="143"/>
      <c r="N20" s="143" t="str">
        <f>'Данные Клиента Продавца и Авто'!B22</f>
        <v>В</v>
      </c>
      <c r="O20" s="143"/>
      <c r="P20" s="143"/>
      <c r="Q20" s="143"/>
      <c r="R20" s="143"/>
      <c r="S20" s="143"/>
      <c r="T20" s="143"/>
      <c r="U20" s="143"/>
      <c r="V20" s="143"/>
      <c r="W20" s="143"/>
      <c r="X20" s="143"/>
      <c r="Y20" s="143"/>
      <c r="Z20" s="143"/>
      <c r="AA20" s="143"/>
      <c r="AB20" s="143"/>
      <c r="AC20" s="143"/>
      <c r="AD20" s="143"/>
      <c r="AE20" s="143"/>
      <c r="AF20" s="143"/>
      <c r="AG20" s="143"/>
      <c r="AH20" s="143"/>
      <c r="AV20" s="61"/>
    </row>
    <row r="21" spans="1:49" ht="15" customHeight="1" x14ac:dyDescent="0.3">
      <c r="A21" s="143" t="str">
        <f>'Данные Клиента Продавца и Авто'!A23</f>
        <v>Год изготовления ТС:</v>
      </c>
      <c r="B21" s="143"/>
      <c r="C21" s="143"/>
      <c r="D21" s="143"/>
      <c r="E21" s="143"/>
      <c r="F21" s="143"/>
      <c r="G21" s="143"/>
      <c r="H21" s="143"/>
      <c r="I21" s="143"/>
      <c r="J21" s="143"/>
      <c r="K21" s="143"/>
      <c r="L21" s="143"/>
      <c r="M21" s="143"/>
      <c r="N21" s="143" t="str">
        <f>'Данные Клиента Продавца и Авто'!B23</f>
        <v>гггг</v>
      </c>
      <c r="O21" s="143"/>
      <c r="P21" s="143"/>
      <c r="Q21" s="143"/>
      <c r="R21" s="143"/>
      <c r="S21" s="143"/>
      <c r="T21" s="143"/>
      <c r="U21" s="143"/>
      <c r="V21" s="143"/>
      <c r="W21" s="143"/>
      <c r="X21" s="143"/>
      <c r="Y21" s="143"/>
      <c r="Z21" s="143"/>
      <c r="AA21" s="143"/>
      <c r="AB21" s="143"/>
      <c r="AC21" s="143"/>
      <c r="AD21" s="143"/>
      <c r="AE21" s="143"/>
      <c r="AF21" s="143"/>
      <c r="AG21" s="143"/>
      <c r="AH21" s="143"/>
      <c r="AV21" s="61"/>
    </row>
    <row r="22" spans="1:49" ht="15" customHeight="1" x14ac:dyDescent="0.3">
      <c r="A22" s="143" t="str">
        <f>'Данные Клиента Продавца и Авто'!A24</f>
        <v>Шасси (рама):</v>
      </c>
      <c r="B22" s="143"/>
      <c r="C22" s="143"/>
      <c r="D22" s="143"/>
      <c r="E22" s="143"/>
      <c r="F22" s="143"/>
      <c r="G22" s="143"/>
      <c r="H22" s="143"/>
      <c r="I22" s="143"/>
      <c r="J22" s="143"/>
      <c r="K22" s="143"/>
      <c r="L22" s="143"/>
      <c r="M22" s="143"/>
      <c r="N22" s="143" t="str">
        <f>'Данные Клиента Продавца и Авто'!B24</f>
        <v>отсутствует</v>
      </c>
      <c r="O22" s="143"/>
      <c r="P22" s="143"/>
      <c r="Q22" s="143"/>
      <c r="R22" s="143"/>
      <c r="S22" s="143"/>
      <c r="T22" s="143"/>
      <c r="U22" s="143"/>
      <c r="V22" s="143"/>
      <c r="W22" s="143"/>
      <c r="X22" s="143"/>
      <c r="Y22" s="143"/>
      <c r="Z22" s="143"/>
      <c r="AA22" s="143"/>
      <c r="AB22" s="143"/>
      <c r="AC22" s="143"/>
      <c r="AD22" s="143"/>
      <c r="AE22" s="143"/>
      <c r="AF22" s="143"/>
      <c r="AG22" s="143"/>
      <c r="AH22" s="143"/>
      <c r="AV22" s="62"/>
      <c r="AW22" s="63"/>
    </row>
    <row r="23" spans="1:49" ht="15" customHeight="1" x14ac:dyDescent="0.3">
      <c r="A23" s="143" t="str">
        <f>'Данные Клиента Продавца и Авто'!A25</f>
        <v>Кузов (кабина, прицеп):</v>
      </c>
      <c r="B23" s="143"/>
      <c r="C23" s="143"/>
      <c r="D23" s="143"/>
      <c r="E23" s="143"/>
      <c r="F23" s="143"/>
      <c r="G23" s="143"/>
      <c r="H23" s="143"/>
      <c r="I23" s="143"/>
      <c r="J23" s="143"/>
      <c r="K23" s="143"/>
      <c r="L23" s="143"/>
      <c r="M23" s="143"/>
      <c r="N23" s="143" t="str">
        <f>'Данные Клиента Продавца и Авто'!B25</f>
        <v>VIN</v>
      </c>
      <c r="O23" s="143"/>
      <c r="P23" s="143"/>
      <c r="Q23" s="143"/>
      <c r="R23" s="143"/>
      <c r="S23" s="143"/>
      <c r="T23" s="143"/>
      <c r="U23" s="143"/>
      <c r="V23" s="143"/>
      <c r="W23" s="143"/>
      <c r="X23" s="143"/>
      <c r="Y23" s="143"/>
      <c r="Z23" s="143"/>
      <c r="AA23" s="143"/>
      <c r="AB23" s="143"/>
      <c r="AC23" s="143"/>
      <c r="AD23" s="143"/>
      <c r="AE23" s="143"/>
      <c r="AF23" s="143"/>
      <c r="AG23" s="143"/>
      <c r="AH23" s="143"/>
      <c r="AV23" s="59"/>
    </row>
    <row r="24" spans="1:49" ht="15" customHeight="1" x14ac:dyDescent="0.3">
      <c r="A24" s="143" t="str">
        <f>'Данные Клиента Продавца и Авто'!A26</f>
        <v>Цвет кузова (кабины, прицепа):</v>
      </c>
      <c r="B24" s="143"/>
      <c r="C24" s="143"/>
      <c r="D24" s="143"/>
      <c r="E24" s="143"/>
      <c r="F24" s="143"/>
      <c r="G24" s="143"/>
      <c r="H24" s="143"/>
      <c r="I24" s="143"/>
      <c r="J24" s="143"/>
      <c r="K24" s="143"/>
      <c r="L24" s="143"/>
      <c r="M24" s="143"/>
      <c r="N24" s="143" t="str">
        <f>'Данные Клиента Продавца и Авто'!B26</f>
        <v>Цвет авто как в ПТС</v>
      </c>
      <c r="O24" s="143"/>
      <c r="P24" s="143"/>
      <c r="Q24" s="143"/>
      <c r="R24" s="143"/>
      <c r="S24" s="143"/>
      <c r="T24" s="143"/>
      <c r="U24" s="143"/>
      <c r="V24" s="143"/>
      <c r="W24" s="143"/>
      <c r="X24" s="143"/>
      <c r="Y24" s="143"/>
      <c r="Z24" s="143"/>
      <c r="AA24" s="143"/>
      <c r="AB24" s="143"/>
      <c r="AC24" s="143"/>
      <c r="AD24" s="143"/>
      <c r="AE24" s="143"/>
      <c r="AF24" s="143"/>
      <c r="AG24" s="143"/>
      <c r="AH24" s="143"/>
      <c r="AV24" s="59"/>
    </row>
    <row r="25" spans="1:49" ht="15" customHeight="1" x14ac:dyDescent="0.3">
      <c r="A25" s="149" t="str">
        <f>'Данные Клиента Продавца и Авто'!A27</f>
        <v>Паспорт ТС / Электронный ПТС / Св-во регистрации ТС (серия, номер, кем выдан, дата выдачи):</v>
      </c>
      <c r="B25" s="150"/>
      <c r="C25" s="150"/>
      <c r="D25" s="150"/>
      <c r="E25" s="150"/>
      <c r="F25" s="150"/>
      <c r="G25" s="150"/>
      <c r="H25" s="150"/>
      <c r="I25" s="150"/>
      <c r="J25" s="150"/>
      <c r="K25" s="150"/>
      <c r="L25" s="150"/>
      <c r="M25" s="151"/>
      <c r="N25" s="158" t="str">
        <f>'Данные Клиента Продавца и Авто'!B27</f>
        <v>77 УО 666029 Центральная акцизная таможня 12.07.2017</v>
      </c>
      <c r="O25" s="159"/>
      <c r="P25" s="159"/>
      <c r="Q25" s="159"/>
      <c r="R25" s="159"/>
      <c r="S25" s="159"/>
      <c r="T25" s="159"/>
      <c r="U25" s="159"/>
      <c r="V25" s="159"/>
      <c r="W25" s="159"/>
      <c r="X25" s="159"/>
      <c r="Y25" s="159"/>
      <c r="Z25" s="159"/>
      <c r="AA25" s="159"/>
      <c r="AB25" s="159"/>
      <c r="AC25" s="159"/>
      <c r="AD25" s="159"/>
      <c r="AE25" s="159"/>
      <c r="AF25" s="159"/>
      <c r="AG25" s="159"/>
      <c r="AH25" s="160"/>
      <c r="AV25" s="64"/>
    </row>
    <row r="26" spans="1:49" ht="15" customHeight="1" x14ac:dyDescent="0.3">
      <c r="A26" s="152"/>
      <c r="B26" s="153"/>
      <c r="C26" s="153"/>
      <c r="D26" s="153"/>
      <c r="E26" s="153"/>
      <c r="F26" s="153"/>
      <c r="G26" s="153"/>
      <c r="H26" s="153"/>
      <c r="I26" s="153"/>
      <c r="J26" s="153"/>
      <c r="K26" s="153"/>
      <c r="L26" s="153"/>
      <c r="M26" s="154"/>
      <c r="N26" s="161"/>
      <c r="O26" s="162"/>
      <c r="P26" s="162"/>
      <c r="Q26" s="162"/>
      <c r="R26" s="162"/>
      <c r="S26" s="162"/>
      <c r="T26" s="162"/>
      <c r="U26" s="162"/>
      <c r="V26" s="162"/>
      <c r="W26" s="162"/>
      <c r="X26" s="162"/>
      <c r="Y26" s="162"/>
      <c r="Z26" s="162"/>
      <c r="AA26" s="162"/>
      <c r="AB26" s="162"/>
      <c r="AC26" s="162"/>
      <c r="AD26" s="162"/>
      <c r="AE26" s="162"/>
      <c r="AF26" s="162"/>
      <c r="AG26" s="162"/>
      <c r="AH26" s="163"/>
    </row>
    <row r="27" spans="1:49" ht="15" customHeight="1" x14ac:dyDescent="0.3">
      <c r="A27" s="155"/>
      <c r="B27" s="156"/>
      <c r="C27" s="156"/>
      <c r="D27" s="156"/>
      <c r="E27" s="156"/>
      <c r="F27" s="156"/>
      <c r="G27" s="156"/>
      <c r="H27" s="156"/>
      <c r="I27" s="156"/>
      <c r="J27" s="156"/>
      <c r="K27" s="156"/>
      <c r="L27" s="156"/>
      <c r="M27" s="157"/>
      <c r="N27" s="164"/>
      <c r="O27" s="165"/>
      <c r="P27" s="165"/>
      <c r="Q27" s="165"/>
      <c r="R27" s="165"/>
      <c r="S27" s="165"/>
      <c r="T27" s="165"/>
      <c r="U27" s="165"/>
      <c r="V27" s="165"/>
      <c r="W27" s="165"/>
      <c r="X27" s="165"/>
      <c r="Y27" s="165"/>
      <c r="Z27" s="165"/>
      <c r="AA27" s="165"/>
      <c r="AB27" s="165"/>
      <c r="AC27" s="165"/>
      <c r="AD27" s="165"/>
      <c r="AE27" s="165"/>
      <c r="AF27" s="165"/>
      <c r="AG27" s="165"/>
      <c r="AH27" s="166"/>
      <c r="AV27" s="65"/>
    </row>
    <row r="28" spans="1:49" ht="15" customHeight="1" x14ac:dyDescent="0.3">
      <c r="A28" s="167"/>
      <c r="B28" s="167"/>
      <c r="C28" s="167"/>
      <c r="D28" s="167"/>
      <c r="E28" s="167"/>
      <c r="F28" s="167"/>
      <c r="G28" s="167"/>
      <c r="H28" s="167"/>
      <c r="I28" s="167"/>
      <c r="J28" s="167"/>
      <c r="K28" s="167"/>
      <c r="L28" s="167"/>
      <c r="M28" s="167"/>
      <c r="N28" s="167"/>
      <c r="O28" s="167"/>
      <c r="P28" s="167"/>
      <c r="Q28" s="167"/>
      <c r="R28" s="167"/>
      <c r="S28" s="167"/>
      <c r="T28" s="167"/>
      <c r="U28" s="167"/>
      <c r="V28" s="167"/>
      <c r="W28" s="167"/>
      <c r="X28" s="167"/>
      <c r="Y28" s="167"/>
      <c r="Z28" s="167"/>
      <c r="AA28" s="167"/>
      <c r="AB28" s="167"/>
      <c r="AC28" s="167"/>
      <c r="AD28" s="167"/>
      <c r="AE28" s="167"/>
      <c r="AF28" s="167"/>
      <c r="AG28" s="167"/>
      <c r="AH28" s="167"/>
    </row>
    <row r="29" spans="1:49" ht="15" customHeight="1" x14ac:dyDescent="0.3">
      <c r="A29" s="168"/>
      <c r="B29" s="168"/>
      <c r="C29" s="168"/>
      <c r="D29" s="168"/>
      <c r="E29" s="168"/>
      <c r="F29" s="168"/>
      <c r="G29" s="168"/>
      <c r="H29" s="168"/>
      <c r="I29" s="168"/>
      <c r="J29" s="168"/>
      <c r="K29" s="168"/>
      <c r="L29" s="168"/>
      <c r="M29" s="168"/>
      <c r="N29" s="168"/>
      <c r="O29" s="168"/>
      <c r="P29" s="168"/>
      <c r="Q29" s="168"/>
      <c r="R29" s="168"/>
      <c r="S29" s="168"/>
      <c r="T29" s="168"/>
      <c r="U29" s="168"/>
      <c r="V29" s="168"/>
      <c r="W29" s="168"/>
      <c r="X29" s="168"/>
      <c r="Y29" s="168"/>
      <c r="Z29" s="168"/>
      <c r="AA29" s="168"/>
      <c r="AB29" s="168"/>
      <c r="AC29" s="168"/>
      <c r="AD29" s="168"/>
      <c r="AE29" s="168"/>
      <c r="AF29" s="168"/>
      <c r="AG29" s="168"/>
      <c r="AH29" s="168"/>
    </row>
    <row r="30" spans="1:49" ht="15" customHeight="1" x14ac:dyDescent="0.3">
      <c r="A30" s="67"/>
      <c r="B30" s="67"/>
      <c r="C30" s="67"/>
      <c r="D30" s="67"/>
      <c r="E30" s="67"/>
      <c r="F30" s="67"/>
      <c r="G30" s="67"/>
      <c r="H30" s="67"/>
      <c r="I30" s="67"/>
      <c r="J30" s="67"/>
      <c r="K30" s="67"/>
      <c r="L30" s="67"/>
      <c r="M30" s="67"/>
      <c r="N30" s="67"/>
      <c r="O30" s="67"/>
      <c r="P30" s="67"/>
      <c r="Q30" s="67"/>
      <c r="R30" s="67"/>
      <c r="S30" s="67"/>
      <c r="T30" s="67"/>
      <c r="U30" s="67"/>
      <c r="V30" s="67"/>
      <c r="W30" s="67"/>
      <c r="X30" s="67"/>
      <c r="Y30" s="67"/>
      <c r="Z30" s="67"/>
      <c r="AA30" s="67"/>
      <c r="AB30" s="67"/>
      <c r="AC30" s="67"/>
      <c r="AD30" s="67"/>
      <c r="AE30" s="67"/>
      <c r="AF30" s="67"/>
      <c r="AG30" s="67"/>
      <c r="AH30" s="67"/>
    </row>
    <row r="31" spans="1:49" ht="15" customHeight="1" x14ac:dyDescent="0.3">
      <c r="A31" s="169" t="s">
        <v>401</v>
      </c>
      <c r="B31" s="169"/>
      <c r="C31" s="169"/>
      <c r="D31" s="169"/>
      <c r="E31" s="169"/>
      <c r="F31" s="169"/>
      <c r="G31" s="169"/>
      <c r="H31" s="169"/>
      <c r="I31" s="169"/>
      <c r="J31" s="169"/>
      <c r="K31" s="169"/>
      <c r="L31" s="169"/>
      <c r="M31" s="169"/>
      <c r="N31" s="169"/>
      <c r="O31" s="169"/>
      <c r="P31" s="169"/>
      <c r="Q31" s="169"/>
      <c r="R31" s="169"/>
      <c r="S31" s="169"/>
      <c r="T31" s="169"/>
      <c r="U31" s="169"/>
      <c r="V31" s="169"/>
      <c r="W31" s="169"/>
      <c r="X31" s="169"/>
      <c r="Y31" s="169"/>
      <c r="Z31" s="169"/>
      <c r="AA31" s="169"/>
      <c r="AB31" s="169"/>
      <c r="AC31" s="169"/>
      <c r="AD31" s="169"/>
      <c r="AE31" s="169"/>
      <c r="AF31" s="169"/>
      <c r="AG31" s="169"/>
      <c r="AH31" s="169"/>
    </row>
    <row r="32" spans="1:49" ht="15" customHeight="1" x14ac:dyDescent="0.3">
      <c r="A32" s="169"/>
      <c r="B32" s="169"/>
      <c r="C32" s="169"/>
      <c r="D32" s="169"/>
      <c r="E32" s="169"/>
      <c r="F32" s="169"/>
      <c r="G32" s="169"/>
      <c r="H32" s="169"/>
      <c r="I32" s="169"/>
      <c r="J32" s="169"/>
      <c r="K32" s="169"/>
      <c r="L32" s="169"/>
      <c r="M32" s="169"/>
      <c r="N32" s="169"/>
      <c r="O32" s="169"/>
      <c r="P32" s="169"/>
      <c r="Q32" s="169"/>
      <c r="R32" s="169"/>
      <c r="S32" s="169"/>
      <c r="T32" s="169"/>
      <c r="U32" s="169"/>
      <c r="V32" s="169"/>
      <c r="W32" s="169"/>
      <c r="X32" s="169"/>
      <c r="Y32" s="169"/>
      <c r="Z32" s="169"/>
      <c r="AA32" s="169"/>
      <c r="AB32" s="169"/>
      <c r="AC32" s="169"/>
      <c r="AD32" s="169"/>
      <c r="AE32" s="169"/>
      <c r="AF32" s="169"/>
      <c r="AG32" s="169"/>
      <c r="AH32" s="169"/>
    </row>
    <row r="34" spans="1:34" ht="15" customHeight="1" x14ac:dyDescent="0.3">
      <c r="A34" s="89" t="s">
        <v>402</v>
      </c>
      <c r="B34" s="89"/>
      <c r="C34" s="89"/>
      <c r="D34" s="89"/>
      <c r="E34" s="89"/>
      <c r="F34" s="89"/>
      <c r="G34" s="89"/>
      <c r="H34" s="89"/>
      <c r="I34" s="89"/>
      <c r="J34" s="89"/>
      <c r="K34" s="89"/>
      <c r="L34" s="89"/>
      <c r="M34" s="89"/>
      <c r="N34" s="89"/>
      <c r="O34" s="89"/>
      <c r="P34" s="89"/>
      <c r="Q34" s="89"/>
      <c r="R34" s="89"/>
      <c r="S34" s="89"/>
      <c r="T34" s="89"/>
      <c r="U34" s="89"/>
      <c r="V34" s="89"/>
      <c r="W34" s="89"/>
      <c r="X34" s="89"/>
      <c r="Y34" s="89"/>
      <c r="Z34" s="89"/>
      <c r="AA34" s="89"/>
      <c r="AB34" s="89"/>
      <c r="AC34" s="89"/>
      <c r="AD34" s="89"/>
      <c r="AE34" s="89"/>
      <c r="AF34" s="89"/>
      <c r="AG34" s="89"/>
      <c r="AH34" s="89"/>
    </row>
    <row r="35" spans="1:34" ht="15" customHeight="1" x14ac:dyDescent="0.3">
      <c r="P35" s="66"/>
      <c r="Q35" s="66"/>
      <c r="S35" s="66"/>
    </row>
    <row r="36" spans="1:34" ht="15" customHeight="1" x14ac:dyDescent="0.3">
      <c r="A36" s="141" t="s">
        <v>290</v>
      </c>
      <c r="B36" s="141"/>
      <c r="C36" s="141"/>
      <c r="D36" s="141"/>
      <c r="E36" s="141"/>
      <c r="F36" s="141"/>
      <c r="G36" s="141"/>
      <c r="P36" s="66"/>
      <c r="Q36" s="66"/>
      <c r="R36" s="66"/>
      <c r="S36" s="66"/>
      <c r="T36" s="141" t="s">
        <v>287</v>
      </c>
      <c r="U36" s="141"/>
      <c r="V36" s="141"/>
      <c r="W36" s="141"/>
      <c r="X36" s="141"/>
      <c r="Y36" s="141"/>
      <c r="Z36" s="141"/>
    </row>
    <row r="37" spans="1:34" ht="15" customHeight="1" x14ac:dyDescent="0.3">
      <c r="A37" s="171" t="str">
        <f>Лист1!A138</f>
        <v>Фамилия Имя Отчество, место рождения: дд.мм.гггг, дд.мм.гггг г.р., паспорт серии 0000 № 000000, выдан дд.мм.гггг г., Полностью как в паспорте, код подразделения 000-000, зарегестрированный по адресу: Область, город, улица, дом, корпус, квартира</v>
      </c>
      <c r="B37" s="171"/>
      <c r="C37" s="171"/>
      <c r="D37" s="171"/>
      <c r="E37" s="171"/>
      <c r="F37" s="171"/>
      <c r="G37" s="171"/>
      <c r="H37" s="171"/>
      <c r="I37" s="171"/>
      <c r="J37" s="171"/>
      <c r="K37" s="171"/>
      <c r="L37" s="171"/>
      <c r="M37" s="171"/>
      <c r="N37" s="171"/>
      <c r="O37" s="171"/>
      <c r="P37" s="66"/>
      <c r="Q37" s="66"/>
      <c r="R37" s="66"/>
      <c r="S37" s="66"/>
      <c r="T37" s="171"/>
      <c r="U37" s="171"/>
      <c r="V37" s="171"/>
      <c r="W37" s="171"/>
      <c r="X37" s="171"/>
      <c r="Y37" s="171"/>
      <c r="Z37" s="171"/>
      <c r="AA37" s="171"/>
      <c r="AB37" s="171"/>
      <c r="AC37" s="171"/>
      <c r="AD37" s="171"/>
      <c r="AE37" s="171"/>
      <c r="AF37" s="171"/>
      <c r="AG37" s="171"/>
      <c r="AH37" s="171"/>
    </row>
    <row r="38" spans="1:34" ht="15" customHeight="1" x14ac:dyDescent="0.3">
      <c r="A38" s="171"/>
      <c r="B38" s="171"/>
      <c r="C38" s="171"/>
      <c r="D38" s="171"/>
      <c r="E38" s="171"/>
      <c r="F38" s="171"/>
      <c r="G38" s="171"/>
      <c r="H38" s="171"/>
      <c r="I38" s="171"/>
      <c r="J38" s="171"/>
      <c r="K38" s="171"/>
      <c r="L38" s="171"/>
      <c r="M38" s="171"/>
      <c r="N38" s="171"/>
      <c r="O38" s="171"/>
      <c r="P38" s="66"/>
      <c r="Q38" s="66"/>
      <c r="R38" s="66"/>
      <c r="S38" s="66"/>
      <c r="T38" s="171"/>
      <c r="U38" s="171"/>
      <c r="V38" s="171"/>
      <c r="W38" s="171"/>
      <c r="X38" s="171"/>
      <c r="Y38" s="171"/>
      <c r="Z38" s="171"/>
      <c r="AA38" s="171"/>
      <c r="AB38" s="171"/>
      <c r="AC38" s="171"/>
      <c r="AD38" s="171"/>
      <c r="AE38" s="171"/>
      <c r="AF38" s="171"/>
      <c r="AG38" s="171"/>
      <c r="AH38" s="171"/>
    </row>
    <row r="39" spans="1:34" ht="15" customHeight="1" x14ac:dyDescent="0.3">
      <c r="A39" s="171"/>
      <c r="B39" s="171"/>
      <c r="C39" s="171"/>
      <c r="D39" s="171"/>
      <c r="E39" s="171"/>
      <c r="F39" s="171"/>
      <c r="G39" s="171"/>
      <c r="H39" s="171"/>
      <c r="I39" s="171"/>
      <c r="J39" s="171"/>
      <c r="K39" s="171"/>
      <c r="L39" s="171"/>
      <c r="M39" s="171"/>
      <c r="N39" s="171"/>
      <c r="O39" s="171"/>
      <c r="P39" s="66"/>
      <c r="Q39" s="66"/>
      <c r="R39" s="66"/>
      <c r="S39" s="66"/>
      <c r="T39" s="171"/>
      <c r="U39" s="171"/>
      <c r="V39" s="171"/>
      <c r="W39" s="171"/>
      <c r="X39" s="171"/>
      <c r="Y39" s="171"/>
      <c r="Z39" s="171"/>
      <c r="AA39" s="171"/>
      <c r="AB39" s="171"/>
      <c r="AC39" s="171"/>
      <c r="AD39" s="171"/>
      <c r="AE39" s="171"/>
      <c r="AF39" s="171"/>
      <c r="AG39" s="171"/>
      <c r="AH39" s="171"/>
    </row>
    <row r="40" spans="1:34" ht="15" customHeight="1" x14ac:dyDescent="0.3">
      <c r="A40" s="171"/>
      <c r="B40" s="171"/>
      <c r="C40" s="171"/>
      <c r="D40" s="171"/>
      <c r="E40" s="171"/>
      <c r="F40" s="171"/>
      <c r="G40" s="171"/>
      <c r="H40" s="171"/>
      <c r="I40" s="171"/>
      <c r="J40" s="171"/>
      <c r="K40" s="171"/>
      <c r="L40" s="171"/>
      <c r="M40" s="171"/>
      <c r="N40" s="171"/>
      <c r="O40" s="171"/>
      <c r="P40" s="66"/>
      <c r="Q40" s="66"/>
      <c r="R40" s="66"/>
      <c r="S40" s="66"/>
      <c r="T40" s="171"/>
      <c r="U40" s="171"/>
      <c r="V40" s="171"/>
      <c r="W40" s="171"/>
      <c r="X40" s="171"/>
      <c r="Y40" s="171"/>
      <c r="Z40" s="171"/>
      <c r="AA40" s="171"/>
      <c r="AB40" s="171"/>
      <c r="AC40" s="171"/>
      <c r="AD40" s="171"/>
      <c r="AE40" s="171"/>
      <c r="AF40" s="171"/>
      <c r="AG40" s="171"/>
      <c r="AH40" s="171"/>
    </row>
    <row r="41" spans="1:34" ht="15" customHeight="1" x14ac:dyDescent="0.3">
      <c r="A41" s="171"/>
      <c r="B41" s="171"/>
      <c r="C41" s="171"/>
      <c r="D41" s="171"/>
      <c r="E41" s="171"/>
      <c r="F41" s="171"/>
      <c r="G41" s="171"/>
      <c r="H41" s="171"/>
      <c r="I41" s="171"/>
      <c r="J41" s="171"/>
      <c r="K41" s="171"/>
      <c r="L41" s="171"/>
      <c r="M41" s="171"/>
      <c r="N41" s="171"/>
      <c r="O41" s="171"/>
      <c r="P41" s="66"/>
      <c r="Q41" s="66"/>
      <c r="R41" s="66"/>
      <c r="S41" s="66"/>
      <c r="T41" s="171"/>
      <c r="U41" s="171"/>
      <c r="V41" s="171"/>
      <c r="W41" s="171"/>
      <c r="X41" s="171"/>
      <c r="Y41" s="171"/>
      <c r="Z41" s="171"/>
      <c r="AA41" s="171"/>
      <c r="AB41" s="171"/>
      <c r="AC41" s="171"/>
      <c r="AD41" s="171"/>
      <c r="AE41" s="171"/>
      <c r="AF41" s="171"/>
      <c r="AG41" s="171"/>
      <c r="AH41" s="171"/>
    </row>
    <row r="42" spans="1:34" ht="15" customHeight="1" x14ac:dyDescent="0.3">
      <c r="A42" s="171"/>
      <c r="B42" s="171"/>
      <c r="C42" s="171"/>
      <c r="D42" s="171"/>
      <c r="E42" s="171"/>
      <c r="F42" s="171"/>
      <c r="G42" s="171"/>
      <c r="H42" s="171"/>
      <c r="I42" s="171"/>
      <c r="J42" s="171"/>
      <c r="K42" s="171"/>
      <c r="L42" s="171"/>
      <c r="M42" s="171"/>
      <c r="N42" s="171"/>
      <c r="O42" s="171"/>
      <c r="P42" s="66"/>
      <c r="Q42" s="66"/>
      <c r="R42" s="66"/>
      <c r="S42" s="66"/>
      <c r="T42" s="171"/>
      <c r="U42" s="171"/>
      <c r="V42" s="171"/>
      <c r="W42" s="171"/>
      <c r="X42" s="171"/>
      <c r="Y42" s="171"/>
      <c r="Z42" s="171"/>
      <c r="AA42" s="171"/>
      <c r="AB42" s="171"/>
      <c r="AC42" s="171"/>
      <c r="AD42" s="171"/>
      <c r="AE42" s="171"/>
      <c r="AF42" s="171"/>
      <c r="AG42" s="171"/>
      <c r="AH42" s="171"/>
    </row>
    <row r="43" spans="1:34" ht="15" customHeight="1" x14ac:dyDescent="0.3">
      <c r="A43" s="171"/>
      <c r="B43" s="171"/>
      <c r="C43" s="171"/>
      <c r="D43" s="171"/>
      <c r="E43" s="171"/>
      <c r="F43" s="171"/>
      <c r="G43" s="171"/>
      <c r="H43" s="171"/>
      <c r="I43" s="171"/>
      <c r="J43" s="171"/>
      <c r="K43" s="171"/>
      <c r="L43" s="171"/>
      <c r="M43" s="171"/>
      <c r="N43" s="171"/>
      <c r="O43" s="171"/>
      <c r="P43" s="66"/>
      <c r="Q43" s="66"/>
      <c r="R43" s="66"/>
      <c r="S43" s="66"/>
      <c r="T43" s="171"/>
      <c r="U43" s="171"/>
      <c r="V43" s="171"/>
      <c r="W43" s="171"/>
      <c r="X43" s="171"/>
      <c r="Y43" s="171"/>
      <c r="Z43" s="171"/>
      <c r="AA43" s="171"/>
      <c r="AB43" s="171"/>
      <c r="AC43" s="171"/>
      <c r="AD43" s="171"/>
      <c r="AE43" s="171"/>
      <c r="AF43" s="171"/>
      <c r="AG43" s="171"/>
      <c r="AH43" s="171"/>
    </row>
    <row r="44" spans="1:34" ht="15" customHeight="1" x14ac:dyDescent="0.3">
      <c r="A44" s="171"/>
      <c r="B44" s="171"/>
      <c r="C44" s="171"/>
      <c r="D44" s="171"/>
      <c r="E44" s="171"/>
      <c r="F44" s="171"/>
      <c r="G44" s="171"/>
      <c r="H44" s="171"/>
      <c r="I44" s="171"/>
      <c r="J44" s="171"/>
      <c r="K44" s="171"/>
      <c r="L44" s="171"/>
      <c r="M44" s="171"/>
      <c r="N44" s="171"/>
      <c r="O44" s="171"/>
      <c r="P44" s="66"/>
      <c r="Q44" s="66"/>
      <c r="R44" s="66"/>
      <c r="S44" s="66"/>
      <c r="T44" s="171"/>
      <c r="U44" s="171"/>
      <c r="V44" s="171"/>
      <c r="W44" s="171"/>
      <c r="X44" s="171"/>
      <c r="Y44" s="171"/>
      <c r="Z44" s="171"/>
      <c r="AA44" s="171"/>
      <c r="AB44" s="171"/>
      <c r="AC44" s="171"/>
      <c r="AD44" s="171"/>
      <c r="AE44" s="171"/>
      <c r="AF44" s="171"/>
      <c r="AG44" s="171"/>
      <c r="AH44" s="171"/>
    </row>
    <row r="45" spans="1:34" ht="15" customHeight="1" x14ac:dyDescent="0.3">
      <c r="A45" s="171"/>
      <c r="B45" s="171"/>
      <c r="C45" s="171"/>
      <c r="D45" s="171"/>
      <c r="E45" s="171"/>
      <c r="F45" s="171"/>
      <c r="G45" s="171"/>
      <c r="H45" s="171"/>
      <c r="I45" s="171"/>
      <c r="J45" s="171"/>
      <c r="K45" s="171"/>
      <c r="L45" s="171"/>
      <c r="M45" s="171"/>
      <c r="N45" s="171"/>
      <c r="O45" s="171"/>
      <c r="P45" s="66"/>
      <c r="Q45" s="66"/>
      <c r="R45" s="66"/>
      <c r="S45" s="66"/>
      <c r="T45" s="171"/>
      <c r="U45" s="171"/>
      <c r="V45" s="171"/>
      <c r="W45" s="171"/>
      <c r="X45" s="171"/>
      <c r="Y45" s="171"/>
      <c r="Z45" s="171"/>
      <c r="AA45" s="171"/>
      <c r="AB45" s="171"/>
      <c r="AC45" s="171"/>
      <c r="AD45" s="171"/>
      <c r="AE45" s="171"/>
      <c r="AF45" s="171"/>
      <c r="AG45" s="171"/>
      <c r="AH45" s="171"/>
    </row>
    <row r="46" spans="1:34" ht="15" customHeight="1" x14ac:dyDescent="0.3">
      <c r="A46" s="171"/>
      <c r="B46" s="171"/>
      <c r="C46" s="171"/>
      <c r="D46" s="171"/>
      <c r="E46" s="171"/>
      <c r="F46" s="171"/>
      <c r="G46" s="171"/>
      <c r="H46" s="171"/>
      <c r="I46" s="171"/>
      <c r="J46" s="171"/>
      <c r="K46" s="171"/>
      <c r="L46" s="171"/>
      <c r="M46" s="171"/>
      <c r="N46" s="171"/>
      <c r="O46" s="171"/>
      <c r="P46" s="66"/>
      <c r="Q46" s="66"/>
      <c r="R46" s="66"/>
      <c r="S46" s="66"/>
      <c r="T46" s="171"/>
      <c r="U46" s="171"/>
      <c r="V46" s="171"/>
      <c r="W46" s="171"/>
      <c r="X46" s="171"/>
      <c r="Y46" s="171"/>
      <c r="Z46" s="171"/>
      <c r="AA46" s="171"/>
      <c r="AB46" s="171"/>
      <c r="AC46" s="171"/>
      <c r="AD46" s="171"/>
      <c r="AE46" s="171"/>
      <c r="AF46" s="171"/>
      <c r="AG46" s="171"/>
      <c r="AH46" s="171"/>
    </row>
    <row r="47" spans="1:34" ht="15" customHeight="1" x14ac:dyDescent="0.3">
      <c r="A47" s="171"/>
      <c r="B47" s="171"/>
      <c r="C47" s="171"/>
      <c r="D47" s="171"/>
      <c r="E47" s="171"/>
      <c r="F47" s="171"/>
      <c r="G47" s="171"/>
      <c r="H47" s="171"/>
      <c r="I47" s="171"/>
      <c r="J47" s="171"/>
      <c r="K47" s="171"/>
      <c r="L47" s="171"/>
      <c r="M47" s="171"/>
      <c r="N47" s="171"/>
      <c r="O47" s="171"/>
      <c r="P47" s="66"/>
      <c r="Q47" s="66"/>
      <c r="R47" s="66"/>
      <c r="S47" s="66"/>
      <c r="T47" s="171"/>
      <c r="U47" s="171"/>
      <c r="V47" s="171"/>
      <c r="W47" s="171"/>
      <c r="X47" s="171"/>
      <c r="Y47" s="171"/>
      <c r="Z47" s="171"/>
      <c r="AA47" s="171"/>
      <c r="AB47" s="171"/>
      <c r="AC47" s="171"/>
      <c r="AD47" s="171"/>
      <c r="AE47" s="171"/>
      <c r="AF47" s="171"/>
      <c r="AG47" s="171"/>
      <c r="AH47" s="171"/>
    </row>
    <row r="49" spans="1:34" ht="15" customHeight="1" x14ac:dyDescent="0.3">
      <c r="A49" s="147" t="s">
        <v>403</v>
      </c>
      <c r="B49" s="147"/>
      <c r="C49" s="147"/>
      <c r="D49" s="147"/>
      <c r="E49" s="147"/>
      <c r="F49" s="147"/>
      <c r="G49" s="141" t="str">
        <f>'Данные Клиента Продавца и Авто'!B6</f>
        <v>Фамилия И.О.</v>
      </c>
      <c r="H49" s="141"/>
      <c r="I49" s="141"/>
      <c r="J49" s="141"/>
      <c r="K49" s="141"/>
      <c r="L49" s="141"/>
      <c r="M49" s="141"/>
      <c r="N49" s="141"/>
      <c r="O49" s="141"/>
      <c r="T49" s="147"/>
      <c r="U49" s="147"/>
      <c r="V49" s="147"/>
      <c r="W49" s="147"/>
      <c r="X49" s="147"/>
      <c r="Y49" s="147"/>
      <c r="Z49" s="141"/>
      <c r="AA49" s="141"/>
      <c r="AB49" s="141"/>
      <c r="AC49" s="141"/>
      <c r="AD49" s="141"/>
      <c r="AE49" s="141"/>
      <c r="AF49" s="141"/>
      <c r="AG49" s="141"/>
      <c r="AH49" s="141"/>
    </row>
    <row r="50" spans="1:34" ht="15" customHeight="1" x14ac:dyDescent="0.3">
      <c r="G50" s="170"/>
      <c r="H50" s="170"/>
      <c r="I50" s="170"/>
      <c r="J50" s="170"/>
      <c r="K50" s="170"/>
      <c r="L50" s="170"/>
      <c r="M50" s="170"/>
      <c r="N50" s="170"/>
      <c r="O50" s="170"/>
      <c r="Z50" s="170"/>
      <c r="AA50" s="170"/>
      <c r="AB50" s="170"/>
      <c r="AC50" s="170"/>
      <c r="AD50" s="170"/>
      <c r="AE50" s="170"/>
      <c r="AF50" s="170"/>
      <c r="AG50" s="170"/>
      <c r="AH50" s="170"/>
    </row>
  </sheetData>
  <mergeCells count="37">
    <mergeCell ref="A15:AH15"/>
    <mergeCell ref="A1:AH1"/>
    <mergeCell ref="A2:AH2"/>
    <mergeCell ref="A4:L4"/>
    <mergeCell ref="AB4:AH4"/>
    <mergeCell ref="A5:AH14"/>
    <mergeCell ref="A17:M17"/>
    <mergeCell ref="N17:AH17"/>
    <mergeCell ref="A18:M18"/>
    <mergeCell ref="N18:AH18"/>
    <mergeCell ref="A19:M19"/>
    <mergeCell ref="N19:AH19"/>
    <mergeCell ref="A20:M20"/>
    <mergeCell ref="N20:AH20"/>
    <mergeCell ref="A21:M21"/>
    <mergeCell ref="N21:AH21"/>
    <mergeCell ref="A22:M22"/>
    <mergeCell ref="N22:AH22"/>
    <mergeCell ref="A37:O47"/>
    <mergeCell ref="T37:AH47"/>
    <mergeCell ref="A23:M23"/>
    <mergeCell ref="N23:AH23"/>
    <mergeCell ref="A24:M24"/>
    <mergeCell ref="N24:AH24"/>
    <mergeCell ref="A25:M27"/>
    <mergeCell ref="N25:AH27"/>
    <mergeCell ref="A28:AH29"/>
    <mergeCell ref="A31:AH32"/>
    <mergeCell ref="A34:AH34"/>
    <mergeCell ref="A36:G36"/>
    <mergeCell ref="T36:Z36"/>
    <mergeCell ref="A49:F49"/>
    <mergeCell ref="G49:O49"/>
    <mergeCell ref="T49:Y49"/>
    <mergeCell ref="Z49:AH49"/>
    <mergeCell ref="G50:O50"/>
    <mergeCell ref="Z50:AH50"/>
  </mergeCells>
  <pageMargins left="0.39370078740157483" right="0.19685039370078741" top="0.74803149606299213" bottom="0.74803149606299213" header="0.31496062992125984" footer="0.31496062992125984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25">
    <tabColor rgb="FFFFFF00"/>
  </sheetPr>
  <dimension ref="A1:AW50"/>
  <sheetViews>
    <sheetView view="pageLayout" zoomScaleNormal="100" workbookViewId="0">
      <selection activeCell="A28" sqref="A28:AH29"/>
    </sheetView>
  </sheetViews>
  <sheetFormatPr defaultColWidth="2.77734375" defaultRowHeight="14.4" x14ac:dyDescent="0.3"/>
  <sheetData>
    <row r="1" spans="1:48" ht="15" customHeight="1" x14ac:dyDescent="0.3">
      <c r="A1" s="144"/>
      <c r="B1" s="144"/>
      <c r="C1" s="144"/>
      <c r="D1" s="144"/>
      <c r="E1" s="144"/>
      <c r="F1" s="144"/>
      <c r="G1" s="144"/>
      <c r="H1" s="144"/>
      <c r="I1" s="144"/>
      <c r="J1" s="144"/>
      <c r="K1" s="144"/>
      <c r="L1" s="144"/>
      <c r="M1" s="144"/>
      <c r="N1" s="144"/>
      <c r="O1" s="144"/>
      <c r="P1" s="144"/>
      <c r="Q1" s="144"/>
      <c r="R1" s="144"/>
      <c r="S1" s="144"/>
      <c r="T1" s="144"/>
      <c r="U1" s="144"/>
      <c r="V1" s="144"/>
      <c r="W1" s="144"/>
      <c r="X1" s="144"/>
      <c r="Y1" s="144"/>
      <c r="Z1" s="144"/>
      <c r="AA1" s="144"/>
      <c r="AB1" s="144"/>
      <c r="AC1" s="144"/>
      <c r="AD1" s="144"/>
      <c r="AE1" s="144"/>
      <c r="AF1" s="144"/>
      <c r="AG1" s="144"/>
      <c r="AH1" s="144"/>
    </row>
    <row r="2" spans="1:48" ht="15" customHeight="1" x14ac:dyDescent="0.3">
      <c r="A2" s="145"/>
      <c r="B2" s="145"/>
      <c r="C2" s="145"/>
      <c r="D2" s="145"/>
      <c r="E2" s="145"/>
      <c r="F2" s="145"/>
      <c r="G2" s="145"/>
      <c r="H2" s="145"/>
      <c r="I2" s="145"/>
      <c r="J2" s="145"/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</row>
    <row r="3" spans="1:48" ht="15" customHeight="1" x14ac:dyDescent="0.3">
      <c r="A3" s="58"/>
    </row>
    <row r="4" spans="1:48" ht="15" customHeight="1" x14ac:dyDescent="0.3">
      <c r="A4" s="142" t="str">
        <f>Лист1!A16&amp;Лист1!A48&amp;'Данные Продажи'!B2</f>
        <v>г. Екатеринбург</v>
      </c>
      <c r="B4" s="142"/>
      <c r="C4" s="142"/>
      <c r="D4" s="142"/>
      <c r="E4" s="142"/>
      <c r="F4" s="142"/>
      <c r="G4" s="142"/>
      <c r="H4" s="142"/>
      <c r="I4" s="142"/>
      <c r="J4" s="142"/>
      <c r="K4" s="142"/>
      <c r="L4" s="142"/>
      <c r="AB4" s="146" t="str">
        <f>'Данные Продажи'!B3&amp;Лист1!A48&amp;Лист1!A16</f>
        <v>19.09.2022 г.</v>
      </c>
      <c r="AC4" s="147"/>
      <c r="AD4" s="147"/>
      <c r="AE4" s="147"/>
      <c r="AF4" s="147"/>
      <c r="AG4" s="147"/>
      <c r="AH4" s="147"/>
    </row>
    <row r="5" spans="1:48" ht="15" customHeight="1" x14ac:dyDescent="0.3">
      <c r="A5" s="148" t="str">
        <f>Лист1!A142</f>
        <v xml:space="preserve">Фамилия Имя Отчество, место рождения: дд.мм.гггг, дд.мм.гггг г.р., паспорт серии 0000 № 000000, выдан дд.мм.гггг г., Полностью как в паспорте, код подразделения 000-000, зарегестрированный по адресу: Область, город, улица, дом, корпус, квартира, именуемый в дальнейшем "Продавец" с одной стороны, и Швецов Евгений Мизайлович, место рождения: гор. Свердловск, 23.07.1981 г.р., паспорт серии 6504 № 426241, выдан 30.07.2003г., Орджоникидзевским РУВД города Екатеринбурга, код подразделения 662-007, зарегестрированный по адресу: Свердловская область г. Екатеринбург пер. Симбирский д. 2/4, кв. 115, именуемый в дальнейшем "Покупатель" с другой стороны, заключили договор о нижеследующем: </v>
      </c>
      <c r="B5" s="148"/>
      <c r="C5" s="148"/>
      <c r="D5" s="148"/>
      <c r="E5" s="148"/>
      <c r="F5" s="148"/>
      <c r="G5" s="148"/>
      <c r="H5" s="148"/>
      <c r="I5" s="148"/>
      <c r="J5" s="148"/>
      <c r="K5" s="148"/>
      <c r="L5" s="148"/>
      <c r="M5" s="148"/>
      <c r="N5" s="148"/>
      <c r="O5" s="148"/>
      <c r="P5" s="148"/>
      <c r="Q5" s="148"/>
      <c r="R5" s="148"/>
      <c r="S5" s="148"/>
      <c r="T5" s="148"/>
      <c r="U5" s="148"/>
      <c r="V5" s="148"/>
      <c r="W5" s="148"/>
      <c r="X5" s="148"/>
      <c r="Y5" s="148"/>
      <c r="Z5" s="148"/>
      <c r="AA5" s="148"/>
      <c r="AB5" s="148"/>
      <c r="AC5" s="148"/>
      <c r="AD5" s="148"/>
      <c r="AE5" s="148"/>
      <c r="AF5" s="148"/>
      <c r="AG5" s="148"/>
      <c r="AH5" s="148"/>
    </row>
    <row r="6" spans="1:48" ht="15" customHeight="1" x14ac:dyDescent="0.3">
      <c r="A6" s="148"/>
      <c r="B6" s="148"/>
      <c r="C6" s="148"/>
      <c r="D6" s="148"/>
      <c r="E6" s="148"/>
      <c r="F6" s="148"/>
      <c r="G6" s="148"/>
      <c r="H6" s="148"/>
      <c r="I6" s="148"/>
      <c r="J6" s="148"/>
      <c r="K6" s="148"/>
      <c r="L6" s="148"/>
      <c r="M6" s="148"/>
      <c r="N6" s="148"/>
      <c r="O6" s="148"/>
      <c r="P6" s="148"/>
      <c r="Q6" s="148"/>
      <c r="R6" s="148"/>
      <c r="S6" s="148"/>
      <c r="T6" s="148"/>
      <c r="U6" s="148"/>
      <c r="V6" s="148"/>
      <c r="W6" s="148"/>
      <c r="X6" s="148"/>
      <c r="Y6" s="148"/>
      <c r="Z6" s="148"/>
      <c r="AA6" s="148"/>
      <c r="AB6" s="148"/>
      <c r="AC6" s="148"/>
      <c r="AD6" s="148"/>
      <c r="AE6" s="148"/>
      <c r="AF6" s="148"/>
      <c r="AG6" s="148"/>
      <c r="AH6" s="148"/>
    </row>
    <row r="7" spans="1:48" ht="15" customHeight="1" x14ac:dyDescent="0.3">
      <c r="A7" s="148"/>
      <c r="B7" s="148"/>
      <c r="C7" s="148"/>
      <c r="D7" s="148"/>
      <c r="E7" s="148"/>
      <c r="F7" s="148"/>
      <c r="G7" s="148"/>
      <c r="H7" s="148"/>
      <c r="I7" s="148"/>
      <c r="J7" s="148"/>
      <c r="K7" s="148"/>
      <c r="L7" s="148"/>
      <c r="M7" s="148"/>
      <c r="N7" s="148"/>
      <c r="O7" s="148"/>
      <c r="P7" s="148"/>
      <c r="Q7" s="148"/>
      <c r="R7" s="148"/>
      <c r="S7" s="148"/>
      <c r="T7" s="148"/>
      <c r="U7" s="148"/>
      <c r="V7" s="148"/>
      <c r="W7" s="148"/>
      <c r="X7" s="148"/>
      <c r="Y7" s="148"/>
      <c r="Z7" s="148"/>
      <c r="AA7" s="148"/>
      <c r="AB7" s="148"/>
      <c r="AC7" s="148"/>
      <c r="AD7" s="148"/>
      <c r="AE7" s="148"/>
      <c r="AF7" s="148"/>
      <c r="AG7" s="148"/>
      <c r="AH7" s="148"/>
    </row>
    <row r="8" spans="1:48" ht="15" customHeight="1" x14ac:dyDescent="0.3">
      <c r="A8" s="148"/>
      <c r="B8" s="148"/>
      <c r="C8" s="148"/>
      <c r="D8" s="148"/>
      <c r="E8" s="148"/>
      <c r="F8" s="148"/>
      <c r="G8" s="148"/>
      <c r="H8" s="148"/>
      <c r="I8" s="148"/>
      <c r="J8" s="148"/>
      <c r="K8" s="148"/>
      <c r="L8" s="148"/>
      <c r="M8" s="148"/>
      <c r="N8" s="148"/>
      <c r="O8" s="148"/>
      <c r="P8" s="148"/>
      <c r="Q8" s="148"/>
      <c r="R8" s="148"/>
      <c r="S8" s="148"/>
      <c r="T8" s="148"/>
      <c r="U8" s="148"/>
      <c r="V8" s="148"/>
      <c r="W8" s="148"/>
      <c r="X8" s="148"/>
      <c r="Y8" s="148"/>
      <c r="Z8" s="148"/>
      <c r="AA8" s="148"/>
      <c r="AB8" s="148"/>
      <c r="AC8" s="148"/>
      <c r="AD8" s="148"/>
      <c r="AE8" s="148"/>
      <c r="AF8" s="148"/>
      <c r="AG8" s="148"/>
      <c r="AH8" s="148"/>
    </row>
    <row r="9" spans="1:48" ht="15" customHeight="1" x14ac:dyDescent="0.3">
      <c r="A9" s="148"/>
      <c r="B9" s="148"/>
      <c r="C9" s="148"/>
      <c r="D9" s="148"/>
      <c r="E9" s="148"/>
      <c r="F9" s="148"/>
      <c r="G9" s="148"/>
      <c r="H9" s="148"/>
      <c r="I9" s="148"/>
      <c r="J9" s="148"/>
      <c r="K9" s="148"/>
      <c r="L9" s="148"/>
      <c r="M9" s="148"/>
      <c r="N9" s="148"/>
      <c r="O9" s="148"/>
      <c r="P9" s="148"/>
      <c r="Q9" s="148"/>
      <c r="R9" s="148"/>
      <c r="S9" s="148"/>
      <c r="T9" s="148"/>
      <c r="U9" s="148"/>
      <c r="V9" s="148"/>
      <c r="W9" s="148"/>
      <c r="X9" s="148"/>
      <c r="Y9" s="148"/>
      <c r="Z9" s="148"/>
      <c r="AA9" s="148"/>
      <c r="AB9" s="148"/>
      <c r="AC9" s="148"/>
      <c r="AD9" s="148"/>
      <c r="AE9" s="148"/>
      <c r="AF9" s="148"/>
      <c r="AG9" s="148"/>
      <c r="AH9" s="148"/>
    </row>
    <row r="10" spans="1:48" ht="15" customHeight="1" x14ac:dyDescent="0.3">
      <c r="A10" s="148"/>
      <c r="B10" s="148"/>
      <c r="C10" s="148"/>
      <c r="D10" s="148"/>
      <c r="E10" s="148"/>
      <c r="F10" s="148"/>
      <c r="G10" s="148"/>
      <c r="H10" s="148"/>
      <c r="I10" s="148"/>
      <c r="J10" s="148"/>
      <c r="K10" s="148"/>
      <c r="L10" s="148"/>
      <c r="M10" s="148"/>
      <c r="N10" s="148"/>
      <c r="O10" s="148"/>
      <c r="P10" s="148"/>
      <c r="Q10" s="148"/>
      <c r="R10" s="148"/>
      <c r="S10" s="148"/>
      <c r="T10" s="148"/>
      <c r="U10" s="148"/>
      <c r="V10" s="148"/>
      <c r="W10" s="148"/>
      <c r="X10" s="148"/>
      <c r="Y10" s="148"/>
      <c r="Z10" s="148"/>
      <c r="AA10" s="148"/>
      <c r="AB10" s="148"/>
      <c r="AC10" s="148"/>
      <c r="AD10" s="148"/>
      <c r="AE10" s="148"/>
      <c r="AF10" s="148"/>
      <c r="AG10" s="148"/>
      <c r="AH10" s="148"/>
    </row>
    <row r="11" spans="1:48" ht="15" customHeight="1" x14ac:dyDescent="0.3">
      <c r="A11" s="148"/>
      <c r="B11" s="148"/>
      <c r="C11" s="148"/>
      <c r="D11" s="148"/>
      <c r="E11" s="148"/>
      <c r="F11" s="148"/>
      <c r="G11" s="148"/>
      <c r="H11" s="148"/>
      <c r="I11" s="148"/>
      <c r="J11" s="148"/>
      <c r="K11" s="148"/>
      <c r="L11" s="148"/>
      <c r="M11" s="148"/>
      <c r="N11" s="148"/>
      <c r="O11" s="148"/>
      <c r="P11" s="148"/>
      <c r="Q11" s="148"/>
      <c r="R11" s="148"/>
      <c r="S11" s="148"/>
      <c r="T11" s="148"/>
      <c r="U11" s="148"/>
      <c r="V11" s="148"/>
      <c r="W11" s="148"/>
      <c r="X11" s="148"/>
      <c r="Y11" s="148"/>
      <c r="Z11" s="148"/>
      <c r="AA11" s="148"/>
      <c r="AB11" s="148"/>
      <c r="AC11" s="148"/>
      <c r="AD11" s="148"/>
      <c r="AE11" s="148"/>
      <c r="AF11" s="148"/>
      <c r="AG11" s="148"/>
      <c r="AH11" s="148"/>
    </row>
    <row r="12" spans="1:48" ht="15" customHeight="1" x14ac:dyDescent="0.3">
      <c r="A12" s="148"/>
      <c r="B12" s="148"/>
      <c r="C12" s="148"/>
      <c r="D12" s="148"/>
      <c r="E12" s="148"/>
      <c r="F12" s="148"/>
      <c r="G12" s="148"/>
      <c r="H12" s="148"/>
      <c r="I12" s="148"/>
      <c r="J12" s="148"/>
      <c r="K12" s="148"/>
      <c r="L12" s="148"/>
      <c r="M12" s="148"/>
      <c r="N12" s="148"/>
      <c r="O12" s="148"/>
      <c r="P12" s="148"/>
      <c r="Q12" s="148"/>
      <c r="R12" s="148"/>
      <c r="S12" s="148"/>
      <c r="T12" s="148"/>
      <c r="U12" s="148"/>
      <c r="V12" s="148"/>
      <c r="W12" s="148"/>
      <c r="X12" s="148"/>
      <c r="Y12" s="148"/>
      <c r="Z12" s="148"/>
      <c r="AA12" s="148"/>
      <c r="AB12" s="148"/>
      <c r="AC12" s="148"/>
      <c r="AD12" s="148"/>
      <c r="AE12" s="148"/>
      <c r="AF12" s="148"/>
      <c r="AG12" s="148"/>
      <c r="AH12" s="148"/>
    </row>
    <row r="13" spans="1:48" ht="15" customHeight="1" x14ac:dyDescent="0.3">
      <c r="A13" s="148"/>
      <c r="B13" s="148"/>
      <c r="C13" s="148"/>
      <c r="D13" s="148"/>
      <c r="E13" s="148"/>
      <c r="F13" s="148"/>
      <c r="G13" s="148"/>
      <c r="H13" s="148"/>
      <c r="I13" s="148"/>
      <c r="J13" s="148"/>
      <c r="K13" s="148"/>
      <c r="L13" s="148"/>
      <c r="M13" s="148"/>
      <c r="N13" s="148"/>
      <c r="O13" s="148"/>
      <c r="P13" s="148"/>
      <c r="Q13" s="148"/>
      <c r="R13" s="148"/>
      <c r="S13" s="148"/>
      <c r="T13" s="148"/>
      <c r="U13" s="148"/>
      <c r="V13" s="148"/>
      <c r="W13" s="148"/>
      <c r="X13" s="148"/>
      <c r="Y13" s="148"/>
      <c r="Z13" s="148"/>
      <c r="AA13" s="148"/>
      <c r="AB13" s="148"/>
      <c r="AC13" s="148"/>
      <c r="AD13" s="148"/>
      <c r="AE13" s="148"/>
      <c r="AF13" s="148"/>
      <c r="AG13" s="148"/>
      <c r="AH13" s="148"/>
    </row>
    <row r="14" spans="1:48" ht="15" customHeight="1" x14ac:dyDescent="0.3">
      <c r="A14" s="148"/>
      <c r="B14" s="148"/>
      <c r="C14" s="148"/>
      <c r="D14" s="148"/>
      <c r="E14" s="148"/>
      <c r="F14" s="148"/>
      <c r="G14" s="148"/>
      <c r="H14" s="148"/>
      <c r="I14" s="148"/>
      <c r="J14" s="148"/>
      <c r="K14" s="148"/>
      <c r="L14" s="148"/>
      <c r="M14" s="148"/>
      <c r="N14" s="148"/>
      <c r="O14" s="148"/>
      <c r="P14" s="148"/>
      <c r="Q14" s="148"/>
      <c r="R14" s="148"/>
      <c r="S14" s="148"/>
      <c r="T14" s="148"/>
      <c r="U14" s="148"/>
      <c r="V14" s="148"/>
      <c r="W14" s="148"/>
      <c r="X14" s="148"/>
      <c r="Y14" s="148"/>
      <c r="Z14" s="148"/>
      <c r="AA14" s="148"/>
      <c r="AB14" s="148"/>
      <c r="AC14" s="148"/>
      <c r="AD14" s="148"/>
      <c r="AE14" s="148"/>
      <c r="AF14" s="148"/>
      <c r="AG14" s="148"/>
      <c r="AH14" s="148"/>
    </row>
    <row r="15" spans="1:48" ht="15" customHeight="1" x14ac:dyDescent="0.3">
      <c r="A15" s="142"/>
      <c r="B15" s="142"/>
      <c r="C15" s="142"/>
      <c r="D15" s="142"/>
      <c r="E15" s="142"/>
      <c r="F15" s="142"/>
      <c r="G15" s="142"/>
      <c r="H15" s="142"/>
      <c r="I15" s="142"/>
      <c r="J15" s="142"/>
      <c r="K15" s="142"/>
      <c r="L15" s="142"/>
      <c r="M15" s="142"/>
      <c r="N15" s="142"/>
      <c r="O15" s="142"/>
      <c r="P15" s="142"/>
      <c r="Q15" s="142"/>
      <c r="R15" s="142"/>
      <c r="S15" s="142"/>
      <c r="T15" s="142"/>
      <c r="U15" s="142"/>
      <c r="V15" s="142"/>
      <c r="W15" s="142"/>
      <c r="X15" s="142"/>
      <c r="Y15" s="142"/>
      <c r="Z15" s="142"/>
      <c r="AA15" s="142"/>
      <c r="AB15" s="142"/>
      <c r="AC15" s="142"/>
      <c r="AD15" s="142"/>
      <c r="AE15" s="142"/>
      <c r="AF15" s="142"/>
      <c r="AG15" s="142"/>
      <c r="AH15" s="142"/>
    </row>
    <row r="16" spans="1:48" ht="15" customHeight="1" x14ac:dyDescent="0.3">
      <c r="AV16" s="59"/>
    </row>
    <row r="17" spans="1:49" ht="15" customHeight="1" x14ac:dyDescent="0.3">
      <c r="A17" s="172"/>
      <c r="B17" s="172"/>
      <c r="C17" s="172"/>
      <c r="D17" s="172"/>
      <c r="E17" s="172"/>
      <c r="F17" s="172"/>
      <c r="G17" s="172"/>
      <c r="H17" s="172"/>
      <c r="I17" s="172"/>
      <c r="J17" s="172"/>
      <c r="K17" s="172"/>
      <c r="L17" s="172"/>
      <c r="M17" s="172"/>
      <c r="N17" s="172"/>
      <c r="O17" s="172"/>
      <c r="P17" s="172"/>
      <c r="Q17" s="172"/>
      <c r="R17" s="172"/>
      <c r="S17" s="172"/>
      <c r="T17" s="172"/>
      <c r="U17" s="172"/>
      <c r="V17" s="172"/>
      <c r="W17" s="172"/>
      <c r="X17" s="172"/>
      <c r="Y17" s="172"/>
      <c r="Z17" s="172"/>
      <c r="AA17" s="172"/>
      <c r="AB17" s="172"/>
      <c r="AC17" s="172"/>
      <c r="AD17" s="172"/>
      <c r="AE17" s="172"/>
      <c r="AF17" s="172"/>
      <c r="AG17" s="172"/>
      <c r="AH17" s="172"/>
      <c r="AV17" s="60"/>
    </row>
    <row r="18" spans="1:49" ht="15" customHeight="1" x14ac:dyDescent="0.3">
      <c r="A18" s="172"/>
      <c r="B18" s="172"/>
      <c r="C18" s="172"/>
      <c r="D18" s="172"/>
      <c r="E18" s="172"/>
      <c r="F18" s="172"/>
      <c r="G18" s="172"/>
      <c r="H18" s="172"/>
      <c r="I18" s="172"/>
      <c r="J18" s="172"/>
      <c r="K18" s="172"/>
      <c r="L18" s="172"/>
      <c r="M18" s="172"/>
      <c r="N18" s="172"/>
      <c r="O18" s="172"/>
      <c r="P18" s="172"/>
      <c r="Q18" s="172"/>
      <c r="R18" s="172"/>
      <c r="S18" s="172"/>
      <c r="T18" s="172"/>
      <c r="U18" s="172"/>
      <c r="V18" s="172"/>
      <c r="W18" s="172"/>
      <c r="X18" s="172"/>
      <c r="Y18" s="172"/>
      <c r="Z18" s="172"/>
      <c r="AA18" s="172"/>
      <c r="AB18" s="172"/>
      <c r="AC18" s="172"/>
      <c r="AD18" s="172"/>
      <c r="AE18" s="172"/>
      <c r="AF18" s="172"/>
      <c r="AG18" s="172"/>
      <c r="AH18" s="172"/>
      <c r="AV18" s="59"/>
    </row>
    <row r="19" spans="1:49" ht="15" customHeight="1" x14ac:dyDescent="0.3">
      <c r="A19" s="172"/>
      <c r="B19" s="172"/>
      <c r="C19" s="172"/>
      <c r="D19" s="172"/>
      <c r="E19" s="172"/>
      <c r="F19" s="172"/>
      <c r="G19" s="172"/>
      <c r="H19" s="172"/>
      <c r="I19" s="172"/>
      <c r="J19" s="172"/>
      <c r="K19" s="172"/>
      <c r="L19" s="172"/>
      <c r="M19" s="172"/>
      <c r="N19" s="172"/>
      <c r="O19" s="172"/>
      <c r="P19" s="172"/>
      <c r="Q19" s="172"/>
      <c r="R19" s="172"/>
      <c r="S19" s="172"/>
      <c r="T19" s="172"/>
      <c r="U19" s="172"/>
      <c r="V19" s="172"/>
      <c r="W19" s="172"/>
      <c r="X19" s="172"/>
      <c r="Y19" s="172"/>
      <c r="Z19" s="172"/>
      <c r="AA19" s="172"/>
      <c r="AB19" s="172"/>
      <c r="AC19" s="172"/>
      <c r="AD19" s="172"/>
      <c r="AE19" s="172"/>
      <c r="AF19" s="172"/>
      <c r="AG19" s="172"/>
      <c r="AH19" s="172"/>
      <c r="AV19" s="58"/>
    </row>
    <row r="20" spans="1:49" ht="15" customHeight="1" x14ac:dyDescent="0.3">
      <c r="A20" s="172"/>
      <c r="B20" s="172"/>
      <c r="C20" s="172"/>
      <c r="D20" s="172"/>
      <c r="E20" s="172"/>
      <c r="F20" s="172"/>
      <c r="G20" s="172"/>
      <c r="H20" s="172"/>
      <c r="I20" s="172"/>
      <c r="J20" s="172"/>
      <c r="K20" s="172"/>
      <c r="L20" s="172"/>
      <c r="M20" s="172"/>
      <c r="N20" s="172"/>
      <c r="O20" s="172"/>
      <c r="P20" s="172"/>
      <c r="Q20" s="172"/>
      <c r="R20" s="172"/>
      <c r="S20" s="172"/>
      <c r="T20" s="172"/>
      <c r="U20" s="172"/>
      <c r="V20" s="172"/>
      <c r="W20" s="172"/>
      <c r="X20" s="172"/>
      <c r="Y20" s="172"/>
      <c r="Z20" s="172"/>
      <c r="AA20" s="172"/>
      <c r="AB20" s="172"/>
      <c r="AC20" s="172"/>
      <c r="AD20" s="172"/>
      <c r="AE20" s="172"/>
      <c r="AF20" s="172"/>
      <c r="AG20" s="172"/>
      <c r="AH20" s="172"/>
      <c r="AV20" s="61"/>
    </row>
    <row r="21" spans="1:49" ht="15" customHeight="1" x14ac:dyDescent="0.3">
      <c r="A21" s="172"/>
      <c r="B21" s="172"/>
      <c r="C21" s="172"/>
      <c r="D21" s="172"/>
      <c r="E21" s="172"/>
      <c r="F21" s="172"/>
      <c r="G21" s="172"/>
      <c r="H21" s="172"/>
      <c r="I21" s="172"/>
      <c r="J21" s="172"/>
      <c r="K21" s="172"/>
      <c r="L21" s="172"/>
      <c r="M21" s="172"/>
      <c r="N21" s="172"/>
      <c r="O21" s="172"/>
      <c r="P21" s="172"/>
      <c r="Q21" s="172"/>
      <c r="R21" s="172"/>
      <c r="S21" s="172"/>
      <c r="T21" s="172"/>
      <c r="U21" s="172"/>
      <c r="V21" s="172"/>
      <c r="W21" s="172"/>
      <c r="X21" s="172"/>
      <c r="Y21" s="172"/>
      <c r="Z21" s="172"/>
      <c r="AA21" s="172"/>
      <c r="AB21" s="172"/>
      <c r="AC21" s="172"/>
      <c r="AD21" s="172"/>
      <c r="AE21" s="172"/>
      <c r="AF21" s="172"/>
      <c r="AG21" s="172"/>
      <c r="AH21" s="172"/>
      <c r="AV21" s="61"/>
    </row>
    <row r="22" spans="1:49" ht="15" customHeight="1" x14ac:dyDescent="0.3">
      <c r="A22" s="172"/>
      <c r="B22" s="172"/>
      <c r="C22" s="172"/>
      <c r="D22" s="172"/>
      <c r="E22" s="172"/>
      <c r="F22" s="172"/>
      <c r="G22" s="172"/>
      <c r="H22" s="172"/>
      <c r="I22" s="172"/>
      <c r="J22" s="172"/>
      <c r="K22" s="172"/>
      <c r="L22" s="172"/>
      <c r="M22" s="172"/>
      <c r="N22" s="172"/>
      <c r="O22" s="172"/>
      <c r="P22" s="172"/>
      <c r="Q22" s="172"/>
      <c r="R22" s="172"/>
      <c r="S22" s="172"/>
      <c r="T22" s="172"/>
      <c r="U22" s="172"/>
      <c r="V22" s="172"/>
      <c r="W22" s="172"/>
      <c r="X22" s="172"/>
      <c r="Y22" s="172"/>
      <c r="Z22" s="172"/>
      <c r="AA22" s="172"/>
      <c r="AB22" s="172"/>
      <c r="AC22" s="172"/>
      <c r="AD22" s="172"/>
      <c r="AE22" s="172"/>
      <c r="AF22" s="172"/>
      <c r="AG22" s="172"/>
      <c r="AH22" s="172"/>
      <c r="AV22" s="62"/>
      <c r="AW22" s="63"/>
    </row>
    <row r="23" spans="1:49" ht="15" customHeight="1" x14ac:dyDescent="0.3">
      <c r="A23" s="172"/>
      <c r="B23" s="172"/>
      <c r="C23" s="172"/>
      <c r="D23" s="172"/>
      <c r="E23" s="172"/>
      <c r="F23" s="172"/>
      <c r="G23" s="172"/>
      <c r="H23" s="172"/>
      <c r="I23" s="172"/>
      <c r="J23" s="172"/>
      <c r="K23" s="172"/>
      <c r="L23" s="172"/>
      <c r="M23" s="172"/>
      <c r="N23" s="172"/>
      <c r="O23" s="172"/>
      <c r="P23" s="172"/>
      <c r="Q23" s="172"/>
      <c r="R23" s="172"/>
      <c r="S23" s="172"/>
      <c r="T23" s="172"/>
      <c r="U23" s="172"/>
      <c r="V23" s="172"/>
      <c r="W23" s="172"/>
      <c r="X23" s="172"/>
      <c r="Y23" s="172"/>
      <c r="Z23" s="172"/>
      <c r="AA23" s="172"/>
      <c r="AB23" s="172"/>
      <c r="AC23" s="172"/>
      <c r="AD23" s="172"/>
      <c r="AE23" s="172"/>
      <c r="AF23" s="172"/>
      <c r="AG23" s="172"/>
      <c r="AH23" s="172"/>
      <c r="AV23" s="59"/>
    </row>
    <row r="24" spans="1:49" ht="15" customHeight="1" x14ac:dyDescent="0.3">
      <c r="A24" s="172"/>
      <c r="B24" s="172"/>
      <c r="C24" s="172"/>
      <c r="D24" s="172"/>
      <c r="E24" s="172"/>
      <c r="F24" s="172"/>
      <c r="G24" s="172"/>
      <c r="H24" s="172"/>
      <c r="I24" s="172"/>
      <c r="J24" s="172"/>
      <c r="K24" s="172"/>
      <c r="L24" s="172"/>
      <c r="M24" s="172"/>
      <c r="N24" s="172"/>
      <c r="O24" s="172"/>
      <c r="P24" s="172"/>
      <c r="Q24" s="172"/>
      <c r="R24" s="172"/>
      <c r="S24" s="172"/>
      <c r="T24" s="172"/>
      <c r="U24" s="172"/>
      <c r="V24" s="172"/>
      <c r="W24" s="172"/>
      <c r="X24" s="172"/>
      <c r="Y24" s="172"/>
      <c r="Z24" s="172"/>
      <c r="AA24" s="172"/>
      <c r="AB24" s="172"/>
      <c r="AC24" s="172"/>
      <c r="AD24" s="172"/>
      <c r="AE24" s="172"/>
      <c r="AF24" s="172"/>
      <c r="AG24" s="172"/>
      <c r="AH24" s="172"/>
      <c r="AV24" s="59"/>
    </row>
    <row r="25" spans="1:49" ht="15" customHeight="1" x14ac:dyDescent="0.3">
      <c r="A25" s="153"/>
      <c r="B25" s="153"/>
      <c r="C25" s="153"/>
      <c r="D25" s="153"/>
      <c r="E25" s="153"/>
      <c r="F25" s="153"/>
      <c r="G25" s="153"/>
      <c r="H25" s="153"/>
      <c r="I25" s="153"/>
      <c r="J25" s="153"/>
      <c r="K25" s="153"/>
      <c r="L25" s="153"/>
      <c r="M25" s="153"/>
      <c r="N25" s="173"/>
      <c r="O25" s="162"/>
      <c r="P25" s="162"/>
      <c r="Q25" s="162"/>
      <c r="R25" s="162"/>
      <c r="S25" s="162"/>
      <c r="T25" s="162"/>
      <c r="U25" s="162"/>
      <c r="V25" s="162"/>
      <c r="W25" s="162"/>
      <c r="X25" s="162"/>
      <c r="Y25" s="162"/>
      <c r="Z25" s="162"/>
      <c r="AA25" s="162"/>
      <c r="AB25" s="162"/>
      <c r="AC25" s="162"/>
      <c r="AD25" s="162"/>
      <c r="AE25" s="162"/>
      <c r="AF25" s="162"/>
      <c r="AG25" s="162"/>
      <c r="AH25" s="162"/>
      <c r="AV25" s="64"/>
    </row>
    <row r="26" spans="1:49" ht="15" customHeight="1" x14ac:dyDescent="0.3">
      <c r="A26" s="153"/>
      <c r="B26" s="153"/>
      <c r="C26" s="153"/>
      <c r="D26" s="153"/>
      <c r="E26" s="153"/>
      <c r="F26" s="153"/>
      <c r="G26" s="153"/>
      <c r="H26" s="153"/>
      <c r="I26" s="153"/>
      <c r="J26" s="153"/>
      <c r="K26" s="153"/>
      <c r="L26" s="153"/>
      <c r="M26" s="153"/>
      <c r="N26" s="162"/>
      <c r="O26" s="162"/>
      <c r="P26" s="162"/>
      <c r="Q26" s="162"/>
      <c r="R26" s="162"/>
      <c r="S26" s="162"/>
      <c r="T26" s="162"/>
      <c r="U26" s="162"/>
      <c r="V26" s="162"/>
      <c r="W26" s="162"/>
      <c r="X26" s="162"/>
      <c r="Y26" s="162"/>
      <c r="Z26" s="162"/>
      <c r="AA26" s="162"/>
      <c r="AB26" s="162"/>
      <c r="AC26" s="162"/>
      <c r="AD26" s="162"/>
      <c r="AE26" s="162"/>
      <c r="AF26" s="162"/>
      <c r="AG26" s="162"/>
      <c r="AH26" s="162"/>
    </row>
    <row r="27" spans="1:49" ht="15" customHeight="1" x14ac:dyDescent="0.3">
      <c r="A27" s="153"/>
      <c r="B27" s="153"/>
      <c r="C27" s="153"/>
      <c r="D27" s="153"/>
      <c r="E27" s="153"/>
      <c r="F27" s="153"/>
      <c r="G27" s="153"/>
      <c r="H27" s="153"/>
      <c r="I27" s="153"/>
      <c r="J27" s="153"/>
      <c r="K27" s="153"/>
      <c r="L27" s="153"/>
      <c r="M27" s="153"/>
      <c r="N27" s="162"/>
      <c r="O27" s="162"/>
      <c r="P27" s="162"/>
      <c r="Q27" s="162"/>
      <c r="R27" s="162"/>
      <c r="S27" s="162"/>
      <c r="T27" s="162"/>
      <c r="U27" s="162"/>
      <c r="V27" s="162"/>
      <c r="W27" s="162"/>
      <c r="X27" s="162"/>
      <c r="Y27" s="162"/>
      <c r="Z27" s="162"/>
      <c r="AA27" s="162"/>
      <c r="AB27" s="162"/>
      <c r="AC27" s="162"/>
      <c r="AD27" s="162"/>
      <c r="AE27" s="162"/>
      <c r="AF27" s="162"/>
      <c r="AG27" s="162"/>
      <c r="AH27" s="162"/>
      <c r="AV27" s="65"/>
    </row>
    <row r="28" spans="1:49" ht="15" customHeight="1" x14ac:dyDescent="0.3">
      <c r="A28" s="168" t="e">
        <f ca="1">Лист1!A147</f>
        <v>#NAME?</v>
      </c>
      <c r="B28" s="168"/>
      <c r="C28" s="168"/>
      <c r="D28" s="168"/>
      <c r="E28" s="168"/>
      <c r="F28" s="168"/>
      <c r="G28" s="168"/>
      <c r="H28" s="168"/>
      <c r="I28" s="168"/>
      <c r="J28" s="168"/>
      <c r="K28" s="168"/>
      <c r="L28" s="168"/>
      <c r="M28" s="168"/>
      <c r="N28" s="168"/>
      <c r="O28" s="168"/>
      <c r="P28" s="168"/>
      <c r="Q28" s="168"/>
      <c r="R28" s="168"/>
      <c r="S28" s="168"/>
      <c r="T28" s="168"/>
      <c r="U28" s="168"/>
      <c r="V28" s="168"/>
      <c r="W28" s="168"/>
      <c r="X28" s="168"/>
      <c r="Y28" s="168"/>
      <c r="Z28" s="168"/>
      <c r="AA28" s="168"/>
      <c r="AB28" s="168"/>
      <c r="AC28" s="168"/>
      <c r="AD28" s="168"/>
      <c r="AE28" s="168"/>
      <c r="AF28" s="168"/>
      <c r="AG28" s="168"/>
      <c r="AH28" s="168"/>
    </row>
    <row r="29" spans="1:49" ht="15" customHeight="1" x14ac:dyDescent="0.3">
      <c r="A29" s="168"/>
      <c r="B29" s="168"/>
      <c r="C29" s="168"/>
      <c r="D29" s="168"/>
      <c r="E29" s="168"/>
      <c r="F29" s="168"/>
      <c r="G29" s="168"/>
      <c r="H29" s="168"/>
      <c r="I29" s="168"/>
      <c r="J29" s="168"/>
      <c r="K29" s="168"/>
      <c r="L29" s="168"/>
      <c r="M29" s="168"/>
      <c r="N29" s="168"/>
      <c r="O29" s="168"/>
      <c r="P29" s="168"/>
      <c r="Q29" s="168"/>
      <c r="R29" s="168"/>
      <c r="S29" s="168"/>
      <c r="T29" s="168"/>
      <c r="U29" s="168"/>
      <c r="V29" s="168"/>
      <c r="W29" s="168"/>
      <c r="X29" s="168"/>
      <c r="Y29" s="168"/>
      <c r="Z29" s="168"/>
      <c r="AA29" s="168"/>
      <c r="AB29" s="168"/>
      <c r="AC29" s="168"/>
      <c r="AD29" s="168"/>
      <c r="AE29" s="168"/>
      <c r="AF29" s="168"/>
      <c r="AG29" s="168"/>
      <c r="AH29" s="168"/>
    </row>
    <row r="30" spans="1:49" ht="15" customHeight="1" x14ac:dyDescent="0.3">
      <c r="A30" s="169"/>
      <c r="B30" s="169"/>
      <c r="C30" s="169"/>
      <c r="D30" s="169"/>
      <c r="E30" s="169"/>
      <c r="F30" s="169"/>
      <c r="G30" s="169"/>
      <c r="H30" s="169"/>
      <c r="I30" s="169"/>
      <c r="J30" s="169"/>
      <c r="K30" s="169"/>
      <c r="L30" s="169"/>
      <c r="M30" s="169"/>
      <c r="N30" s="169"/>
      <c r="O30" s="169"/>
      <c r="P30" s="169"/>
      <c r="Q30" s="169"/>
      <c r="R30" s="169"/>
      <c r="S30" s="169"/>
      <c r="T30" s="169"/>
      <c r="U30" s="169"/>
      <c r="V30" s="169"/>
      <c r="W30" s="169"/>
      <c r="X30" s="169"/>
      <c r="Y30" s="169"/>
      <c r="Z30" s="169"/>
      <c r="AA30" s="169"/>
      <c r="AB30" s="169"/>
      <c r="AC30" s="169"/>
      <c r="AD30" s="169"/>
      <c r="AE30" s="169"/>
      <c r="AF30" s="169"/>
      <c r="AG30" s="169"/>
      <c r="AH30" s="169"/>
    </row>
    <row r="31" spans="1:49" ht="15" customHeight="1" x14ac:dyDescent="0.3">
      <c r="A31" s="169"/>
      <c r="B31" s="169"/>
      <c r="C31" s="169"/>
      <c r="D31" s="169"/>
      <c r="E31" s="169"/>
      <c r="F31" s="169"/>
      <c r="G31" s="169"/>
      <c r="H31" s="169"/>
      <c r="I31" s="169"/>
      <c r="J31" s="169"/>
      <c r="K31" s="169"/>
      <c r="L31" s="169"/>
      <c r="M31" s="169"/>
      <c r="N31" s="169"/>
      <c r="O31" s="169"/>
      <c r="P31" s="169"/>
      <c r="Q31" s="169"/>
      <c r="R31" s="169"/>
      <c r="S31" s="169"/>
      <c r="T31" s="169"/>
      <c r="U31" s="169"/>
      <c r="V31" s="169"/>
      <c r="W31" s="169"/>
      <c r="X31" s="169"/>
      <c r="Y31" s="169"/>
      <c r="Z31" s="169"/>
      <c r="AA31" s="169"/>
      <c r="AB31" s="169"/>
      <c r="AC31" s="169"/>
      <c r="AD31" s="169"/>
      <c r="AE31" s="169"/>
      <c r="AF31" s="169"/>
      <c r="AG31" s="169"/>
      <c r="AH31" s="169"/>
    </row>
    <row r="33" spans="1:34" ht="15" customHeight="1" x14ac:dyDescent="0.3">
      <c r="A33" s="89"/>
      <c r="B33" s="89"/>
      <c r="C33" s="89"/>
      <c r="D33" s="89"/>
      <c r="E33" s="89"/>
      <c r="F33" s="89"/>
      <c r="G33" s="89"/>
      <c r="H33" s="89"/>
      <c r="I33" s="89"/>
      <c r="J33" s="89"/>
      <c r="K33" s="89"/>
      <c r="L33" s="89"/>
      <c r="M33" s="89"/>
      <c r="N33" s="89"/>
      <c r="O33" s="89"/>
      <c r="P33" s="89"/>
      <c r="Q33" s="89"/>
      <c r="R33" s="89"/>
      <c r="S33" s="89"/>
      <c r="T33" s="89"/>
      <c r="U33" s="89"/>
      <c r="V33" s="89"/>
      <c r="W33" s="89"/>
      <c r="X33" s="89"/>
      <c r="Y33" s="89"/>
      <c r="Z33" s="89"/>
      <c r="AA33" s="89"/>
      <c r="AB33" s="89"/>
      <c r="AC33" s="89"/>
      <c r="AD33" s="89"/>
      <c r="AE33" s="89"/>
      <c r="AF33" s="89"/>
      <c r="AG33" s="89"/>
      <c r="AH33" s="89"/>
    </row>
    <row r="34" spans="1:34" ht="15" customHeight="1" x14ac:dyDescent="0.3">
      <c r="P34" s="66"/>
      <c r="Q34" s="66"/>
      <c r="S34" s="66"/>
    </row>
    <row r="35" spans="1:34" ht="15" customHeight="1" x14ac:dyDescent="0.3">
      <c r="P35" s="66"/>
      <c r="Q35" s="66"/>
      <c r="S35" s="66"/>
    </row>
    <row r="36" spans="1:34" ht="15" customHeight="1" x14ac:dyDescent="0.3">
      <c r="A36" s="141"/>
      <c r="B36" s="141"/>
      <c r="C36" s="141"/>
      <c r="D36" s="141"/>
      <c r="E36" s="141"/>
      <c r="F36" s="141"/>
      <c r="G36" s="141"/>
      <c r="P36" s="66"/>
      <c r="Q36" s="66"/>
      <c r="R36" s="66"/>
      <c r="S36" s="66"/>
      <c r="T36" s="141"/>
      <c r="U36" s="141"/>
      <c r="V36" s="141"/>
      <c r="W36" s="141"/>
      <c r="X36" s="141"/>
      <c r="Y36" s="141"/>
      <c r="Z36" s="141"/>
    </row>
    <row r="37" spans="1:34" ht="15" customHeight="1" x14ac:dyDescent="0.3">
      <c r="A37" s="171"/>
      <c r="B37" s="171"/>
      <c r="C37" s="171"/>
      <c r="D37" s="171"/>
      <c r="E37" s="171"/>
      <c r="F37" s="171"/>
      <c r="G37" s="171"/>
      <c r="H37" s="171"/>
      <c r="I37" s="171"/>
      <c r="J37" s="171"/>
      <c r="K37" s="171"/>
      <c r="L37" s="171"/>
      <c r="M37" s="171"/>
      <c r="N37" s="171"/>
      <c r="O37" s="171"/>
      <c r="P37" s="66"/>
      <c r="Q37" s="66"/>
      <c r="R37" s="66"/>
      <c r="S37" s="66"/>
      <c r="T37" s="171" t="str">
        <f>Лист1!A140</f>
        <v>Швецов Евгений Мизайлович, место рождения: гор. Свердловск, 23.07.1981 г.р., паспорт серии 6504 № 426241, выдан 30.07.2003г., Орджоникидзевским РУВД города Екатеринбурга, код подразделения 662-007, зарегестрированный по адресу: Свердловская область г. Екатеринбург пер. Симбирский д. 2/4, кв. 115</v>
      </c>
      <c r="U37" s="171"/>
      <c r="V37" s="171"/>
      <c r="W37" s="171"/>
      <c r="X37" s="171"/>
      <c r="Y37" s="171"/>
      <c r="Z37" s="171"/>
      <c r="AA37" s="171"/>
      <c r="AB37" s="171"/>
      <c r="AC37" s="171"/>
      <c r="AD37" s="171"/>
      <c r="AE37" s="171"/>
      <c r="AF37" s="171"/>
      <c r="AG37" s="171"/>
      <c r="AH37" s="171"/>
    </row>
    <row r="38" spans="1:34" ht="15" customHeight="1" x14ac:dyDescent="0.3">
      <c r="A38" s="171"/>
      <c r="B38" s="171"/>
      <c r="C38" s="171"/>
      <c r="D38" s="171"/>
      <c r="E38" s="171"/>
      <c r="F38" s="171"/>
      <c r="G38" s="171"/>
      <c r="H38" s="171"/>
      <c r="I38" s="171"/>
      <c r="J38" s="171"/>
      <c r="K38" s="171"/>
      <c r="L38" s="171"/>
      <c r="M38" s="171"/>
      <c r="N38" s="171"/>
      <c r="O38" s="171"/>
      <c r="P38" s="66"/>
      <c r="Q38" s="66"/>
      <c r="R38" s="66"/>
      <c r="S38" s="66"/>
      <c r="T38" s="171"/>
      <c r="U38" s="171"/>
      <c r="V38" s="171"/>
      <c r="W38" s="171"/>
      <c r="X38" s="171"/>
      <c r="Y38" s="171"/>
      <c r="Z38" s="171"/>
      <c r="AA38" s="171"/>
      <c r="AB38" s="171"/>
      <c r="AC38" s="171"/>
      <c r="AD38" s="171"/>
      <c r="AE38" s="171"/>
      <c r="AF38" s="171"/>
      <c r="AG38" s="171"/>
      <c r="AH38" s="171"/>
    </row>
    <row r="39" spans="1:34" ht="15" customHeight="1" x14ac:dyDescent="0.3">
      <c r="A39" s="171"/>
      <c r="B39" s="171"/>
      <c r="C39" s="171"/>
      <c r="D39" s="171"/>
      <c r="E39" s="171"/>
      <c r="F39" s="171"/>
      <c r="G39" s="171"/>
      <c r="H39" s="171"/>
      <c r="I39" s="171"/>
      <c r="J39" s="171"/>
      <c r="K39" s="171"/>
      <c r="L39" s="171"/>
      <c r="M39" s="171"/>
      <c r="N39" s="171"/>
      <c r="O39" s="171"/>
      <c r="P39" s="66"/>
      <c r="Q39" s="66"/>
      <c r="R39" s="66"/>
      <c r="S39" s="66"/>
      <c r="T39" s="171"/>
      <c r="U39" s="171"/>
      <c r="V39" s="171"/>
      <c r="W39" s="171"/>
      <c r="X39" s="171"/>
      <c r="Y39" s="171"/>
      <c r="Z39" s="171"/>
      <c r="AA39" s="171"/>
      <c r="AB39" s="171"/>
      <c r="AC39" s="171"/>
      <c r="AD39" s="171"/>
      <c r="AE39" s="171"/>
      <c r="AF39" s="171"/>
      <c r="AG39" s="171"/>
      <c r="AH39" s="171"/>
    </row>
    <row r="40" spans="1:34" ht="15" customHeight="1" x14ac:dyDescent="0.3">
      <c r="A40" s="171"/>
      <c r="B40" s="171"/>
      <c r="C40" s="171"/>
      <c r="D40" s="171"/>
      <c r="E40" s="171"/>
      <c r="F40" s="171"/>
      <c r="G40" s="171"/>
      <c r="H40" s="171"/>
      <c r="I40" s="171"/>
      <c r="J40" s="171"/>
      <c r="K40" s="171"/>
      <c r="L40" s="171"/>
      <c r="M40" s="171"/>
      <c r="N40" s="171"/>
      <c r="O40" s="171"/>
      <c r="P40" s="66"/>
      <c r="Q40" s="66"/>
      <c r="R40" s="66"/>
      <c r="S40" s="66"/>
      <c r="T40" s="171"/>
      <c r="U40" s="171"/>
      <c r="V40" s="171"/>
      <c r="W40" s="171"/>
      <c r="X40" s="171"/>
      <c r="Y40" s="171"/>
      <c r="Z40" s="171"/>
      <c r="AA40" s="171"/>
      <c r="AB40" s="171"/>
      <c r="AC40" s="171"/>
      <c r="AD40" s="171"/>
      <c r="AE40" s="171"/>
      <c r="AF40" s="171"/>
      <c r="AG40" s="171"/>
      <c r="AH40" s="171"/>
    </row>
    <row r="41" spans="1:34" ht="15" customHeight="1" x14ac:dyDescent="0.3">
      <c r="A41" s="171"/>
      <c r="B41" s="171"/>
      <c r="C41" s="171"/>
      <c r="D41" s="171"/>
      <c r="E41" s="171"/>
      <c r="F41" s="171"/>
      <c r="G41" s="171"/>
      <c r="H41" s="171"/>
      <c r="I41" s="171"/>
      <c r="J41" s="171"/>
      <c r="K41" s="171"/>
      <c r="L41" s="171"/>
      <c r="M41" s="171"/>
      <c r="N41" s="171"/>
      <c r="O41" s="171"/>
      <c r="P41" s="66"/>
      <c r="Q41" s="66"/>
      <c r="R41" s="66"/>
      <c r="S41" s="66"/>
      <c r="T41" s="171"/>
      <c r="U41" s="171"/>
      <c r="V41" s="171"/>
      <c r="W41" s="171"/>
      <c r="X41" s="171"/>
      <c r="Y41" s="171"/>
      <c r="Z41" s="171"/>
      <c r="AA41" s="171"/>
      <c r="AB41" s="171"/>
      <c r="AC41" s="171"/>
      <c r="AD41" s="171"/>
      <c r="AE41" s="171"/>
      <c r="AF41" s="171"/>
      <c r="AG41" s="171"/>
      <c r="AH41" s="171"/>
    </row>
    <row r="42" spans="1:34" ht="15" customHeight="1" x14ac:dyDescent="0.3">
      <c r="A42" s="171"/>
      <c r="B42" s="171"/>
      <c r="C42" s="171"/>
      <c r="D42" s="171"/>
      <c r="E42" s="171"/>
      <c r="F42" s="171"/>
      <c r="G42" s="171"/>
      <c r="H42" s="171"/>
      <c r="I42" s="171"/>
      <c r="J42" s="171"/>
      <c r="K42" s="171"/>
      <c r="L42" s="171"/>
      <c r="M42" s="171"/>
      <c r="N42" s="171"/>
      <c r="O42" s="171"/>
      <c r="P42" s="66"/>
      <c r="Q42" s="66"/>
      <c r="R42" s="66"/>
      <c r="S42" s="66"/>
      <c r="T42" s="171"/>
      <c r="U42" s="171"/>
      <c r="V42" s="171"/>
      <c r="W42" s="171"/>
      <c r="X42" s="171"/>
      <c r="Y42" s="171"/>
      <c r="Z42" s="171"/>
      <c r="AA42" s="171"/>
      <c r="AB42" s="171"/>
      <c r="AC42" s="171"/>
      <c r="AD42" s="171"/>
      <c r="AE42" s="171"/>
      <c r="AF42" s="171"/>
      <c r="AG42" s="171"/>
      <c r="AH42" s="171"/>
    </row>
    <row r="43" spans="1:34" ht="15" customHeight="1" x14ac:dyDescent="0.3">
      <c r="A43" s="171"/>
      <c r="B43" s="171"/>
      <c r="C43" s="171"/>
      <c r="D43" s="171"/>
      <c r="E43" s="171"/>
      <c r="F43" s="171"/>
      <c r="G43" s="171"/>
      <c r="H43" s="171"/>
      <c r="I43" s="171"/>
      <c r="J43" s="171"/>
      <c r="K43" s="171"/>
      <c r="L43" s="171"/>
      <c r="M43" s="171"/>
      <c r="N43" s="171"/>
      <c r="O43" s="171"/>
      <c r="P43" s="66"/>
      <c r="Q43" s="66"/>
      <c r="R43" s="66"/>
      <c r="S43" s="66"/>
      <c r="T43" s="171"/>
      <c r="U43" s="171"/>
      <c r="V43" s="171"/>
      <c r="W43" s="171"/>
      <c r="X43" s="171"/>
      <c r="Y43" s="171"/>
      <c r="Z43" s="171"/>
      <c r="AA43" s="171"/>
      <c r="AB43" s="171"/>
      <c r="AC43" s="171"/>
      <c r="AD43" s="171"/>
      <c r="AE43" s="171"/>
      <c r="AF43" s="171"/>
      <c r="AG43" s="171"/>
      <c r="AH43" s="171"/>
    </row>
    <row r="44" spans="1:34" ht="15" customHeight="1" x14ac:dyDescent="0.3">
      <c r="A44" s="171"/>
      <c r="B44" s="171"/>
      <c r="C44" s="171"/>
      <c r="D44" s="171"/>
      <c r="E44" s="171"/>
      <c r="F44" s="171"/>
      <c r="G44" s="171"/>
      <c r="H44" s="171"/>
      <c r="I44" s="171"/>
      <c r="J44" s="171"/>
      <c r="K44" s="171"/>
      <c r="L44" s="171"/>
      <c r="M44" s="171"/>
      <c r="N44" s="171"/>
      <c r="O44" s="171"/>
      <c r="P44" s="66"/>
      <c r="Q44" s="66"/>
      <c r="R44" s="66"/>
      <c r="S44" s="66"/>
      <c r="T44" s="171"/>
      <c r="U44" s="171"/>
      <c r="V44" s="171"/>
      <c r="W44" s="171"/>
      <c r="X44" s="171"/>
      <c r="Y44" s="171"/>
      <c r="Z44" s="171"/>
      <c r="AA44" s="171"/>
      <c r="AB44" s="171"/>
      <c r="AC44" s="171"/>
      <c r="AD44" s="171"/>
      <c r="AE44" s="171"/>
      <c r="AF44" s="171"/>
      <c r="AG44" s="171"/>
      <c r="AH44" s="171"/>
    </row>
    <row r="45" spans="1:34" ht="15" customHeight="1" x14ac:dyDescent="0.3">
      <c r="A45" s="171"/>
      <c r="B45" s="171"/>
      <c r="C45" s="171"/>
      <c r="D45" s="171"/>
      <c r="E45" s="171"/>
      <c r="F45" s="171"/>
      <c r="G45" s="171"/>
      <c r="H45" s="171"/>
      <c r="I45" s="171"/>
      <c r="J45" s="171"/>
      <c r="K45" s="171"/>
      <c r="L45" s="171"/>
      <c r="M45" s="171"/>
      <c r="N45" s="171"/>
      <c r="O45" s="171"/>
      <c r="P45" s="66"/>
      <c r="Q45" s="66"/>
      <c r="R45" s="66"/>
      <c r="S45" s="66"/>
      <c r="T45" s="171"/>
      <c r="U45" s="171"/>
      <c r="V45" s="171"/>
      <c r="W45" s="171"/>
      <c r="X45" s="171"/>
      <c r="Y45" s="171"/>
      <c r="Z45" s="171"/>
      <c r="AA45" s="171"/>
      <c r="AB45" s="171"/>
      <c r="AC45" s="171"/>
      <c r="AD45" s="171"/>
      <c r="AE45" s="171"/>
      <c r="AF45" s="171"/>
      <c r="AG45" s="171"/>
      <c r="AH45" s="171"/>
    </row>
    <row r="46" spans="1:34" ht="15" customHeight="1" x14ac:dyDescent="0.3">
      <c r="A46" s="171"/>
      <c r="B46" s="171"/>
      <c r="C46" s="171"/>
      <c r="D46" s="171"/>
      <c r="E46" s="171"/>
      <c r="F46" s="171"/>
      <c r="G46" s="171"/>
      <c r="H46" s="171"/>
      <c r="I46" s="171"/>
      <c r="J46" s="171"/>
      <c r="K46" s="171"/>
      <c r="L46" s="171"/>
      <c r="M46" s="171"/>
      <c r="N46" s="171"/>
      <c r="O46" s="171"/>
      <c r="P46" s="66"/>
      <c r="Q46" s="66"/>
      <c r="R46" s="66"/>
      <c r="S46" s="66"/>
      <c r="T46" s="171"/>
      <c r="U46" s="171"/>
      <c r="V46" s="171"/>
      <c r="W46" s="171"/>
      <c r="X46" s="171"/>
      <c r="Y46" s="171"/>
      <c r="Z46" s="171"/>
      <c r="AA46" s="171"/>
      <c r="AB46" s="171"/>
      <c r="AC46" s="171"/>
      <c r="AD46" s="171"/>
      <c r="AE46" s="171"/>
      <c r="AF46" s="171"/>
      <c r="AG46" s="171"/>
      <c r="AH46" s="171"/>
    </row>
    <row r="47" spans="1:34" ht="15" customHeight="1" x14ac:dyDescent="0.3">
      <c r="A47" s="171"/>
      <c r="B47" s="171"/>
      <c r="C47" s="171"/>
      <c r="D47" s="171"/>
      <c r="E47" s="171"/>
      <c r="F47" s="171"/>
      <c r="G47" s="171"/>
      <c r="H47" s="171"/>
      <c r="I47" s="171"/>
      <c r="J47" s="171"/>
      <c r="K47" s="171"/>
      <c r="L47" s="171"/>
      <c r="M47" s="171"/>
      <c r="N47" s="171"/>
      <c r="O47" s="171"/>
      <c r="P47" s="66"/>
      <c r="Q47" s="66"/>
      <c r="R47" s="66"/>
      <c r="S47" s="66"/>
      <c r="T47" s="171"/>
      <c r="U47" s="171"/>
      <c r="V47" s="171"/>
      <c r="W47" s="171"/>
      <c r="X47" s="171"/>
      <c r="Y47" s="171"/>
      <c r="Z47" s="171"/>
      <c r="AA47" s="171"/>
      <c r="AB47" s="171"/>
      <c r="AC47" s="171"/>
      <c r="AD47" s="171"/>
      <c r="AE47" s="171"/>
      <c r="AF47" s="171"/>
      <c r="AG47" s="171"/>
      <c r="AH47" s="171"/>
    </row>
    <row r="49" spans="1:34" ht="15" customHeight="1" x14ac:dyDescent="0.3">
      <c r="A49" s="147"/>
      <c r="B49" s="147"/>
      <c r="C49" s="147"/>
      <c r="D49" s="147"/>
      <c r="E49" s="147"/>
      <c r="F49" s="147"/>
      <c r="G49" s="141"/>
      <c r="H49" s="141"/>
      <c r="I49" s="141"/>
      <c r="J49" s="141"/>
      <c r="K49" s="141"/>
      <c r="L49" s="141"/>
      <c r="M49" s="141"/>
      <c r="N49" s="141"/>
      <c r="O49" s="141"/>
      <c r="T49" s="147" t="s">
        <v>403</v>
      </c>
      <c r="U49" s="147"/>
      <c r="V49" s="147"/>
      <c r="W49" s="147"/>
      <c r="X49" s="147"/>
      <c r="Y49" s="147"/>
      <c r="Z49" s="141" t="str">
        <f>'Данные Продажи'!B5</f>
        <v>Швецов Е.М.</v>
      </c>
      <c r="AA49" s="141"/>
      <c r="AB49" s="141"/>
      <c r="AC49" s="141"/>
      <c r="AD49" s="141"/>
      <c r="AE49" s="141"/>
      <c r="AF49" s="141"/>
      <c r="AG49" s="141"/>
      <c r="AH49" s="141"/>
    </row>
    <row r="50" spans="1:34" ht="15" customHeight="1" x14ac:dyDescent="0.3">
      <c r="G50" s="170"/>
      <c r="H50" s="170"/>
      <c r="I50" s="170"/>
      <c r="J50" s="170"/>
      <c r="K50" s="170"/>
      <c r="L50" s="170"/>
      <c r="M50" s="170"/>
      <c r="N50" s="170"/>
      <c r="O50" s="170"/>
      <c r="Z50" s="170"/>
      <c r="AA50" s="170"/>
      <c r="AB50" s="170"/>
      <c r="AC50" s="170"/>
      <c r="AD50" s="170"/>
      <c r="AE50" s="170"/>
      <c r="AF50" s="170"/>
      <c r="AG50" s="170"/>
      <c r="AH50" s="170"/>
    </row>
  </sheetData>
  <mergeCells count="37">
    <mergeCell ref="A15:AH15"/>
    <mergeCell ref="A1:AH1"/>
    <mergeCell ref="A2:AH2"/>
    <mergeCell ref="A4:L4"/>
    <mergeCell ref="AB4:AH4"/>
    <mergeCell ref="A5:AH14"/>
    <mergeCell ref="A17:M17"/>
    <mergeCell ref="N17:AH17"/>
    <mergeCell ref="A18:M18"/>
    <mergeCell ref="N18:AH18"/>
    <mergeCell ref="A19:M19"/>
    <mergeCell ref="N19:AH19"/>
    <mergeCell ref="A20:M20"/>
    <mergeCell ref="N20:AH20"/>
    <mergeCell ref="A21:M21"/>
    <mergeCell ref="N21:AH21"/>
    <mergeCell ref="A22:M22"/>
    <mergeCell ref="N22:AH22"/>
    <mergeCell ref="A37:O47"/>
    <mergeCell ref="T37:AH47"/>
    <mergeCell ref="A23:M23"/>
    <mergeCell ref="N23:AH23"/>
    <mergeCell ref="A24:M24"/>
    <mergeCell ref="N24:AH24"/>
    <mergeCell ref="A25:M27"/>
    <mergeCell ref="N25:AH27"/>
    <mergeCell ref="A28:AH29"/>
    <mergeCell ref="A30:AH31"/>
    <mergeCell ref="A33:AH33"/>
    <mergeCell ref="A36:G36"/>
    <mergeCell ref="T36:Z36"/>
    <mergeCell ref="A49:F49"/>
    <mergeCell ref="G49:O49"/>
    <mergeCell ref="T49:Y49"/>
    <mergeCell ref="Z49:AH49"/>
    <mergeCell ref="G50:O50"/>
    <mergeCell ref="Z50:AH50"/>
  </mergeCells>
  <pageMargins left="0.39370078740157483" right="0.19685039370078741" top="0.74803149606299213" bottom="0.74803149606299213" header="0.31496062992125984" footer="0.31496062992125984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Лист10">
    <tabColor rgb="FFFFFF00"/>
  </sheetPr>
  <dimension ref="A1:AH113"/>
  <sheetViews>
    <sheetView showWhiteSpace="0" view="pageLayout" zoomScaleNormal="100" workbookViewId="0">
      <selection activeCell="J8" sqref="J8"/>
    </sheetView>
  </sheetViews>
  <sheetFormatPr defaultColWidth="2.77734375" defaultRowHeight="14.4" x14ac:dyDescent="0.3"/>
  <cols>
    <col min="1" max="33" width="2.77734375" style="5"/>
    <col min="34" max="34" width="3" style="5" customWidth="1"/>
    <col min="35" max="16384" width="2.77734375" style="5"/>
  </cols>
  <sheetData>
    <row r="1" spans="1:34" s="6" customFormat="1" ht="15.6" x14ac:dyDescent="0.3">
      <c r="A1" s="90"/>
      <c r="B1" s="90"/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90"/>
      <c r="T1" s="90"/>
      <c r="U1" s="90"/>
      <c r="V1" s="90"/>
      <c r="W1" s="90"/>
      <c r="X1" s="90"/>
      <c r="Y1" s="90"/>
      <c r="Z1" s="90"/>
      <c r="AA1" s="90"/>
      <c r="AB1" s="90"/>
      <c r="AC1" s="90"/>
      <c r="AD1" s="90"/>
      <c r="AE1" s="90"/>
      <c r="AF1" s="90"/>
      <c r="AG1" s="90"/>
      <c r="AH1" s="90"/>
    </row>
    <row r="2" spans="1:34" ht="15.6" x14ac:dyDescent="0.3">
      <c r="A2" s="90"/>
      <c r="B2" s="90"/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</row>
    <row r="3" spans="1:34" x14ac:dyDescent="0.3">
      <c r="G3" s="10"/>
      <c r="S3" s="89"/>
      <c r="T3" s="89"/>
      <c r="V3" s="88"/>
      <c r="W3" s="89"/>
      <c r="X3" s="89"/>
      <c r="Y3" s="89"/>
      <c r="Z3" s="89"/>
      <c r="AA3" s="89"/>
    </row>
    <row r="4" spans="1:34" ht="15" customHeight="1" x14ac:dyDescent="0.3"/>
    <row r="5" spans="1:34" x14ac:dyDescent="0.3">
      <c r="A5" s="5" t="str">
        <f>Лист1!A16&amp;Лист1!A48&amp;'Данные Клиента Продавца и Авто'!B2</f>
        <v>г. Екатеринбург</v>
      </c>
      <c r="X5" s="81"/>
      <c r="Y5" s="81"/>
      <c r="Z5" s="10"/>
      <c r="AC5" s="88" t="str">
        <f>Закрывашки!B4&amp;Лист1!A48&amp;Лист1!A16</f>
        <v>03.04.2022 г.</v>
      </c>
      <c r="AD5" s="89"/>
      <c r="AE5" s="89"/>
      <c r="AF5" s="89"/>
      <c r="AG5" s="89"/>
      <c r="AH5" s="89"/>
    </row>
    <row r="7" spans="1:34" x14ac:dyDescent="0.3">
      <c r="A7" s="43"/>
    </row>
    <row r="8" spans="1:34" x14ac:dyDescent="0.3">
      <c r="A8" s="43"/>
    </row>
    <row r="10" spans="1:34" x14ac:dyDescent="0.3">
      <c r="A10" s="5" t="s">
        <v>180</v>
      </c>
      <c r="M10" s="137" t="str">
        <f>'Данные Клиента Продавца и Авто'!B3</f>
        <v>0810</v>
      </c>
      <c r="N10" s="89"/>
      <c r="O10" s="5" t="s">
        <v>145</v>
      </c>
      <c r="P10" s="88" t="str">
        <f>'Данные Клиента Продавца и Авто'!B4&amp;Лист1!A48&amp;Лист1!A16</f>
        <v>19.09.2022 г.</v>
      </c>
      <c r="Q10" s="89"/>
      <c r="R10" s="89"/>
      <c r="S10" s="89"/>
      <c r="T10" s="89"/>
      <c r="U10" s="89"/>
      <c r="V10" s="5" t="s">
        <v>181</v>
      </c>
    </row>
    <row r="11" spans="1:34" x14ac:dyDescent="0.3">
      <c r="A11" s="32" t="s">
        <v>230</v>
      </c>
      <c r="F11" s="179" t="e">
        <f ca="1">Закрывашки!B6&amp;Закрывашки!B7</f>
        <v>#NAME?</v>
      </c>
      <c r="G11" s="179"/>
      <c r="H11" s="179"/>
      <c r="I11" s="179"/>
      <c r="J11" s="179"/>
      <c r="K11" s="179"/>
      <c r="L11" s="179"/>
      <c r="M11" s="179"/>
      <c r="N11" s="179"/>
      <c r="O11" s="179"/>
      <c r="P11" s="179"/>
      <c r="Q11" s="179"/>
      <c r="R11" s="179"/>
      <c r="S11" s="179"/>
      <c r="T11" s="179"/>
      <c r="U11" s="179"/>
      <c r="V11" s="179"/>
      <c r="W11" s="179"/>
      <c r="X11" s="179"/>
      <c r="Y11" s="179"/>
      <c r="Z11" s="179"/>
      <c r="AA11" s="179"/>
      <c r="AB11" s="179"/>
      <c r="AC11" s="179"/>
      <c r="AD11" s="179"/>
      <c r="AE11" s="179"/>
      <c r="AF11" s="179"/>
      <c r="AG11" s="179"/>
      <c r="AH11" s="179"/>
    </row>
    <row r="12" spans="1:34" x14ac:dyDescent="0.3">
      <c r="A12" s="32" t="s">
        <v>231</v>
      </c>
    </row>
    <row r="14" spans="1:34" x14ac:dyDescent="0.3">
      <c r="A14" s="5" t="s">
        <v>182</v>
      </c>
    </row>
    <row r="16" spans="1:34" ht="15" customHeight="1" x14ac:dyDescent="0.3">
      <c r="A16" s="178" t="s">
        <v>183</v>
      </c>
      <c r="B16" s="178" t="s">
        <v>262</v>
      </c>
      <c r="C16" s="178"/>
      <c r="D16" s="178"/>
      <c r="E16" s="178"/>
      <c r="F16" s="178"/>
      <c r="G16" s="178" t="s">
        <v>188</v>
      </c>
      <c r="H16" s="178"/>
      <c r="I16" s="178"/>
      <c r="J16" s="178" t="s">
        <v>190</v>
      </c>
      <c r="K16" s="178"/>
      <c r="L16" s="178" t="s">
        <v>184</v>
      </c>
      <c r="M16" s="178"/>
      <c r="N16" s="178"/>
      <c r="O16" s="178"/>
      <c r="P16" s="176" t="s">
        <v>189</v>
      </c>
      <c r="Q16" s="176"/>
      <c r="R16" s="176"/>
      <c r="S16" s="176"/>
      <c r="T16" s="176"/>
      <c r="U16" s="176"/>
      <c r="V16" s="176"/>
      <c r="W16" s="176"/>
      <c r="X16" s="176"/>
      <c r="Y16" s="176"/>
      <c r="Z16" s="176"/>
      <c r="AA16" s="176"/>
      <c r="AB16" s="176"/>
      <c r="AC16" s="178" t="s">
        <v>185</v>
      </c>
      <c r="AD16" s="178"/>
      <c r="AE16" s="178"/>
      <c r="AF16" s="178"/>
      <c r="AG16" s="178"/>
      <c r="AH16" s="178"/>
    </row>
    <row r="17" spans="1:34" x14ac:dyDescent="0.3">
      <c r="A17" s="178"/>
      <c r="B17" s="178"/>
      <c r="C17" s="178"/>
      <c r="D17" s="178"/>
      <c r="E17" s="178"/>
      <c r="F17" s="178"/>
      <c r="G17" s="178"/>
      <c r="H17" s="178"/>
      <c r="I17" s="178"/>
      <c r="J17" s="178"/>
      <c r="K17" s="178"/>
      <c r="L17" s="178"/>
      <c r="M17" s="178"/>
      <c r="N17" s="178"/>
      <c r="O17" s="178"/>
      <c r="P17" s="176"/>
      <c r="Q17" s="176"/>
      <c r="R17" s="176"/>
      <c r="S17" s="176"/>
      <c r="T17" s="176"/>
      <c r="U17" s="176"/>
      <c r="V17" s="176"/>
      <c r="W17" s="176"/>
      <c r="X17" s="176"/>
      <c r="Y17" s="176"/>
      <c r="Z17" s="176"/>
      <c r="AA17" s="176"/>
      <c r="AB17" s="176"/>
      <c r="AC17" s="178"/>
      <c r="AD17" s="178"/>
      <c r="AE17" s="178"/>
      <c r="AF17" s="178"/>
      <c r="AG17" s="178"/>
      <c r="AH17" s="178"/>
    </row>
    <row r="18" spans="1:34" x14ac:dyDescent="0.3">
      <c r="A18" s="178"/>
      <c r="B18" s="178"/>
      <c r="C18" s="178"/>
      <c r="D18" s="178"/>
      <c r="E18" s="178"/>
      <c r="F18" s="178"/>
      <c r="G18" s="178"/>
      <c r="H18" s="178"/>
      <c r="I18" s="178"/>
      <c r="J18" s="178"/>
      <c r="K18" s="178"/>
      <c r="L18" s="178"/>
      <c r="M18" s="178"/>
      <c r="N18" s="178"/>
      <c r="O18" s="178"/>
      <c r="P18" s="176"/>
      <c r="Q18" s="176"/>
      <c r="R18" s="176"/>
      <c r="S18" s="176"/>
      <c r="T18" s="176"/>
      <c r="U18" s="176"/>
      <c r="V18" s="176"/>
      <c r="W18" s="176"/>
      <c r="X18" s="176"/>
      <c r="Y18" s="176"/>
      <c r="Z18" s="176"/>
      <c r="AA18" s="176"/>
      <c r="AB18" s="176"/>
      <c r="AC18" s="178"/>
      <c r="AD18" s="178"/>
      <c r="AE18" s="178"/>
      <c r="AF18" s="178"/>
      <c r="AG18" s="178"/>
      <c r="AH18" s="178"/>
    </row>
    <row r="19" spans="1:34" ht="15" customHeight="1" x14ac:dyDescent="0.3">
      <c r="A19" s="176">
        <v>1</v>
      </c>
      <c r="B19" s="178" t="str">
        <f>'Данные Клиента Продавца и Авто'!B20</f>
        <v>Марка, модель</v>
      </c>
      <c r="C19" s="178"/>
      <c r="D19" s="178"/>
      <c r="E19" s="178"/>
      <c r="F19" s="178"/>
      <c r="G19" s="176" t="s">
        <v>186</v>
      </c>
      <c r="H19" s="176"/>
      <c r="I19" s="176"/>
      <c r="J19" s="176">
        <v>1</v>
      </c>
      <c r="K19" s="176"/>
      <c r="L19" s="127">
        <f>Закрывашки!B6</f>
        <v>1500000</v>
      </c>
      <c r="M19" s="127"/>
      <c r="N19" s="127"/>
      <c r="O19" s="127"/>
      <c r="AC19" s="21"/>
      <c r="AD19" s="21"/>
      <c r="AE19" s="21"/>
      <c r="AF19" s="21"/>
      <c r="AG19" s="21"/>
      <c r="AH19" s="21"/>
    </row>
    <row r="20" spans="1:34" x14ac:dyDescent="0.3">
      <c r="A20" s="176"/>
      <c r="B20" s="178"/>
      <c r="C20" s="178"/>
      <c r="D20" s="178"/>
      <c r="E20" s="178"/>
      <c r="F20" s="178"/>
      <c r="G20" s="176"/>
      <c r="H20" s="176"/>
      <c r="I20" s="176"/>
      <c r="J20" s="176"/>
      <c r="K20" s="176"/>
      <c r="L20" s="127"/>
      <c r="M20" s="127"/>
      <c r="N20" s="127"/>
      <c r="O20" s="127"/>
      <c r="AC20" s="21"/>
      <c r="AD20" s="21"/>
      <c r="AE20" s="21"/>
      <c r="AF20" s="21"/>
      <c r="AG20" s="21"/>
      <c r="AH20" s="21"/>
    </row>
    <row r="21" spans="1:34" x14ac:dyDescent="0.3">
      <c r="A21" s="176"/>
      <c r="B21" s="178"/>
      <c r="C21" s="178"/>
      <c r="D21" s="178"/>
      <c r="E21" s="178"/>
      <c r="F21" s="178"/>
      <c r="G21" s="176"/>
      <c r="H21" s="176"/>
      <c r="I21" s="176"/>
      <c r="J21" s="176"/>
      <c r="K21" s="176"/>
      <c r="L21" s="127"/>
      <c r="M21" s="127"/>
      <c r="N21" s="127"/>
      <c r="O21" s="127"/>
      <c r="P21" s="95" t="str">
        <f>Закрывашки!B5</f>
        <v>ФИО / Организация</v>
      </c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  <c r="AB21" s="95"/>
      <c r="AC21" s="21"/>
      <c r="AD21" s="21"/>
      <c r="AE21" s="21"/>
      <c r="AF21" s="21"/>
      <c r="AG21" s="21"/>
      <c r="AH21" s="21"/>
    </row>
    <row r="22" spans="1:34" x14ac:dyDescent="0.3">
      <c r="A22" s="176"/>
      <c r="B22" s="178"/>
      <c r="C22" s="178"/>
      <c r="D22" s="178"/>
      <c r="E22" s="178"/>
      <c r="F22" s="178"/>
      <c r="G22" s="176"/>
      <c r="H22" s="176"/>
      <c r="I22" s="176"/>
      <c r="J22" s="176"/>
      <c r="K22" s="176"/>
      <c r="L22" s="127"/>
      <c r="M22" s="127"/>
      <c r="N22" s="127"/>
      <c r="O22" s="127"/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5"/>
      <c r="AB22" s="95"/>
      <c r="AC22" s="21"/>
      <c r="AD22" s="21"/>
      <c r="AE22" s="21"/>
      <c r="AF22" s="21"/>
      <c r="AG22" s="21"/>
      <c r="AH22" s="21"/>
    </row>
    <row r="23" spans="1:34" x14ac:dyDescent="0.3">
      <c r="A23" s="176"/>
      <c r="B23" s="178"/>
      <c r="C23" s="178"/>
      <c r="D23" s="178"/>
      <c r="E23" s="178"/>
      <c r="F23" s="178"/>
      <c r="G23" s="176"/>
      <c r="H23" s="176"/>
      <c r="I23" s="176"/>
      <c r="J23" s="176"/>
      <c r="K23" s="176"/>
      <c r="L23" s="127"/>
      <c r="M23" s="127"/>
      <c r="N23" s="127"/>
      <c r="O23" s="127"/>
      <c r="P23" s="174" t="s">
        <v>229</v>
      </c>
      <c r="Q23" s="174"/>
      <c r="R23" s="174"/>
      <c r="S23" s="174"/>
      <c r="T23" s="174"/>
      <c r="U23" s="174"/>
      <c r="V23" s="99" t="str">
        <f>Закрывашки!B3</f>
        <v>03042022/-1</v>
      </c>
      <c r="W23" s="99"/>
      <c r="X23" s="99"/>
      <c r="Y23" s="99"/>
      <c r="Z23" s="99"/>
      <c r="AA23" s="99"/>
      <c r="AB23" s="99"/>
      <c r="AC23" s="102" t="str">
        <f>T25</f>
        <v>03.04.2022 г.</v>
      </c>
      <c r="AD23" s="102"/>
      <c r="AE23" s="102"/>
      <c r="AF23" s="102"/>
      <c r="AG23" s="102"/>
      <c r="AH23" s="102"/>
    </row>
    <row r="24" spans="1:34" x14ac:dyDescent="0.3">
      <c r="A24" s="176"/>
      <c r="B24" s="178"/>
      <c r="C24" s="178"/>
      <c r="D24" s="178"/>
      <c r="E24" s="178"/>
      <c r="F24" s="178"/>
      <c r="G24" s="176"/>
      <c r="H24" s="176"/>
      <c r="I24" s="176"/>
      <c r="J24" s="176"/>
      <c r="K24" s="176"/>
      <c r="L24" s="127"/>
      <c r="M24" s="127"/>
      <c r="N24" s="127"/>
      <c r="O24" s="127"/>
      <c r="P24" s="174"/>
      <c r="Q24" s="174"/>
      <c r="R24" s="174"/>
      <c r="S24" s="174"/>
      <c r="T24" s="174"/>
      <c r="U24" s="174"/>
      <c r="V24" s="99"/>
      <c r="W24" s="99"/>
      <c r="X24" s="99"/>
      <c r="Y24" s="99"/>
      <c r="Z24" s="99"/>
      <c r="AA24" s="99"/>
      <c r="AB24" s="99"/>
      <c r="AC24" s="102"/>
      <c r="AD24" s="102"/>
      <c r="AE24" s="102"/>
      <c r="AF24" s="102"/>
      <c r="AG24" s="102"/>
      <c r="AH24" s="102"/>
    </row>
    <row r="25" spans="1:34" x14ac:dyDescent="0.3">
      <c r="A25" s="176"/>
      <c r="B25" s="178"/>
      <c r="C25" s="178"/>
      <c r="D25" s="178"/>
      <c r="E25" s="178"/>
      <c r="F25" s="178"/>
      <c r="G25" s="176"/>
      <c r="H25" s="176"/>
      <c r="I25" s="176"/>
      <c r="J25" s="176"/>
      <c r="K25" s="176"/>
      <c r="L25" s="127"/>
      <c r="M25" s="127"/>
      <c r="N25" s="127"/>
      <c r="O25" s="127"/>
      <c r="P25" s="174" t="s">
        <v>145</v>
      </c>
      <c r="Q25" s="174"/>
      <c r="R25" s="174"/>
      <c r="S25" s="174"/>
      <c r="T25" s="104" t="str">
        <f>Закрывашки!B4&amp;Лист1!A48&amp;Лист1!A16</f>
        <v>03.04.2022 г.</v>
      </c>
      <c r="U25" s="104"/>
      <c r="V25" s="104"/>
      <c r="W25" s="104"/>
      <c r="X25" s="104"/>
      <c r="Y25" s="104"/>
      <c r="Z25" s="104"/>
      <c r="AA25" s="104"/>
      <c r="AB25" s="104"/>
      <c r="AC25" s="21"/>
      <c r="AD25" s="21"/>
      <c r="AE25" s="21"/>
      <c r="AF25" s="21"/>
      <c r="AG25" s="21"/>
      <c r="AH25" s="21"/>
    </row>
    <row r="26" spans="1:34" x14ac:dyDescent="0.3">
      <c r="A26" s="176"/>
      <c r="B26" s="178"/>
      <c r="C26" s="178"/>
      <c r="D26" s="178"/>
      <c r="E26" s="178"/>
      <c r="F26" s="178"/>
      <c r="G26" s="176"/>
      <c r="H26" s="176"/>
      <c r="I26" s="176"/>
      <c r="J26" s="176"/>
      <c r="K26" s="176"/>
      <c r="L26" s="127"/>
      <c r="M26" s="127"/>
      <c r="N26" s="127"/>
      <c r="O26" s="127"/>
      <c r="P26" s="174"/>
      <c r="Q26" s="174"/>
      <c r="R26" s="174"/>
      <c r="S26" s="174"/>
      <c r="T26" s="104"/>
      <c r="U26" s="104"/>
      <c r="V26" s="104"/>
      <c r="W26" s="104"/>
      <c r="X26" s="104"/>
      <c r="Y26" s="104"/>
      <c r="Z26" s="104"/>
      <c r="AA26" s="104"/>
      <c r="AB26" s="104"/>
      <c r="AC26" s="21"/>
      <c r="AD26" s="21"/>
      <c r="AE26" s="21"/>
      <c r="AF26" s="21"/>
      <c r="AG26" s="21"/>
      <c r="AH26" s="21"/>
    </row>
    <row r="27" spans="1:34" x14ac:dyDescent="0.3">
      <c r="A27" s="176"/>
      <c r="B27" s="178"/>
      <c r="C27" s="178"/>
      <c r="D27" s="178"/>
      <c r="E27" s="178"/>
      <c r="F27" s="178"/>
      <c r="G27" s="176"/>
      <c r="H27" s="176"/>
      <c r="I27" s="176"/>
      <c r="J27" s="176"/>
      <c r="K27" s="176"/>
      <c r="L27" s="127"/>
      <c r="M27" s="127"/>
      <c r="N27" s="127"/>
      <c r="O27" s="127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1"/>
    </row>
    <row r="28" spans="1:34" x14ac:dyDescent="0.3">
      <c r="A28" s="175" t="s">
        <v>187</v>
      </c>
      <c r="B28" s="175"/>
      <c r="C28" s="175"/>
      <c r="D28" s="175"/>
      <c r="E28" s="175"/>
      <c r="F28" s="175"/>
      <c r="G28" s="175" t="s">
        <v>186</v>
      </c>
      <c r="H28" s="175"/>
      <c r="I28" s="175"/>
      <c r="J28" s="176">
        <v>1</v>
      </c>
      <c r="K28" s="176"/>
      <c r="L28" s="177">
        <f>L19</f>
        <v>1500000</v>
      </c>
      <c r="M28" s="177"/>
      <c r="N28" s="177"/>
      <c r="O28" s="177"/>
    </row>
    <row r="30" spans="1:34" x14ac:dyDescent="0.3">
      <c r="A30" s="5" t="s">
        <v>191</v>
      </c>
      <c r="X30" s="89" t="str">
        <f>M10</f>
        <v>0810</v>
      </c>
      <c r="Y30" s="89"/>
      <c r="Z30" s="5" t="s">
        <v>145</v>
      </c>
      <c r="AA30" s="88" t="str">
        <f>P10</f>
        <v>19.09.2022 г.</v>
      </c>
      <c r="AB30" s="89"/>
      <c r="AC30" s="89"/>
      <c r="AD30" s="89"/>
      <c r="AE30" s="89"/>
      <c r="AF30" s="89"/>
      <c r="AG30" s="5" t="s">
        <v>192</v>
      </c>
    </row>
    <row r="31" spans="1:34" x14ac:dyDescent="0.3">
      <c r="A31" s="32" t="s">
        <v>232</v>
      </c>
      <c r="N31" s="34" t="e">
        <f ca="1">Закрывашки!B8&amp;Закрывашки!B9</f>
        <v>#NAME?</v>
      </c>
    </row>
    <row r="32" spans="1:34" x14ac:dyDescent="0.3">
      <c r="A32" s="32" t="s">
        <v>233</v>
      </c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</row>
    <row r="34" spans="1:22" x14ac:dyDescent="0.3">
      <c r="A34" s="5" t="s">
        <v>193</v>
      </c>
    </row>
    <row r="36" spans="1:22" x14ac:dyDescent="0.3">
      <c r="A36" s="5" t="s">
        <v>194</v>
      </c>
    </row>
    <row r="37" spans="1:22" x14ac:dyDescent="0.3">
      <c r="A37" s="5" t="s">
        <v>195</v>
      </c>
    </row>
    <row r="38" spans="1:22" x14ac:dyDescent="0.3">
      <c r="A38" s="89">
        <f>'Данные Клиента Продавца и Авто'!B31</f>
        <v>100000</v>
      </c>
      <c r="B38" s="89"/>
      <c r="C38" s="89"/>
      <c r="D38" s="5" t="s">
        <v>89</v>
      </c>
      <c r="F38" s="2" t="e">
        <f ca="1">'Данные Клиента Продавца и Авто'!B32</f>
        <v>#NAME?</v>
      </c>
    </row>
    <row r="40" spans="1:22" x14ac:dyDescent="0.3">
      <c r="A40" s="5" t="s">
        <v>196</v>
      </c>
      <c r="M40" s="89" t="str">
        <f>X30</f>
        <v>0810</v>
      </c>
      <c r="N40" s="89"/>
      <c r="O40" s="5" t="s">
        <v>145</v>
      </c>
      <c r="P40" s="88" t="str">
        <f>AA30</f>
        <v>19.09.2022 г.</v>
      </c>
      <c r="Q40" s="89"/>
      <c r="R40" s="89"/>
      <c r="S40" s="89"/>
      <c r="T40" s="89"/>
      <c r="U40" s="89"/>
      <c r="V40" s="5" t="s">
        <v>197</v>
      </c>
    </row>
    <row r="41" spans="1:22" x14ac:dyDescent="0.3">
      <c r="A41" s="5" t="s">
        <v>198</v>
      </c>
    </row>
    <row r="42" spans="1:22" x14ac:dyDescent="0.3">
      <c r="A42" s="5" t="s">
        <v>199</v>
      </c>
    </row>
    <row r="44" spans="1:22" x14ac:dyDescent="0.3">
      <c r="A44" s="5" t="s">
        <v>200</v>
      </c>
    </row>
    <row r="45" spans="1:22" x14ac:dyDescent="0.3">
      <c r="A45" s="5" t="s">
        <v>201</v>
      </c>
    </row>
    <row r="47" spans="1:22" x14ac:dyDescent="0.3">
      <c r="A47" s="5" t="s">
        <v>202</v>
      </c>
    </row>
    <row r="48" spans="1:22" x14ac:dyDescent="0.3">
      <c r="A48" s="5" t="s">
        <v>203</v>
      </c>
    </row>
    <row r="49" spans="1:28" x14ac:dyDescent="0.3">
      <c r="C49" s="88" t="str">
        <f>AC5</f>
        <v>03.04.2022 г.</v>
      </c>
      <c r="D49" s="89"/>
      <c r="E49" s="89"/>
      <c r="F49" s="89"/>
      <c r="G49" s="89"/>
      <c r="H49" s="89"/>
      <c r="I49" s="2"/>
      <c r="J49" s="7"/>
      <c r="K49" s="7"/>
      <c r="L49" s="7"/>
    </row>
    <row r="51" spans="1:28" x14ac:dyDescent="0.3">
      <c r="A51" s="5" t="s">
        <v>204</v>
      </c>
    </row>
    <row r="52" spans="1:28" ht="15.6" x14ac:dyDescent="0.3">
      <c r="A52" s="5" t="s">
        <v>205</v>
      </c>
      <c r="S52" s="1"/>
      <c r="AB52" s="2"/>
    </row>
    <row r="53" spans="1:28" x14ac:dyDescent="0.3">
      <c r="C53" s="88" t="str">
        <f>AC5</f>
        <v>03.04.2022 г.</v>
      </c>
      <c r="D53" s="89"/>
      <c r="E53" s="89"/>
      <c r="F53" s="89"/>
      <c r="G53" s="89"/>
      <c r="H53" s="89"/>
      <c r="I53" s="2"/>
      <c r="J53" s="7"/>
      <c r="K53" s="7"/>
      <c r="L53" s="7"/>
    </row>
    <row r="113" ht="15.75" customHeight="1" x14ac:dyDescent="0.3"/>
  </sheetData>
  <mergeCells count="38">
    <mergeCell ref="AC23:AH24"/>
    <mergeCell ref="B19:F27"/>
    <mergeCell ref="G19:I27"/>
    <mergeCell ref="J19:K27"/>
    <mergeCell ref="L19:O27"/>
    <mergeCell ref="P21:AB22"/>
    <mergeCell ref="M10:N10"/>
    <mergeCell ref="P10:U10"/>
    <mergeCell ref="A16:A18"/>
    <mergeCell ref="B16:F18"/>
    <mergeCell ref="G16:I18"/>
    <mergeCell ref="J16:K18"/>
    <mergeCell ref="L16:O18"/>
    <mergeCell ref="P16:AB18"/>
    <mergeCell ref="F11:AH11"/>
    <mergeCell ref="AC16:AH18"/>
    <mergeCell ref="A1:AH1"/>
    <mergeCell ref="A2:AH2"/>
    <mergeCell ref="S3:T3"/>
    <mergeCell ref="V3:AA3"/>
    <mergeCell ref="X5:Y5"/>
    <mergeCell ref="AC5:AH5"/>
    <mergeCell ref="C49:H49"/>
    <mergeCell ref="C53:H53"/>
    <mergeCell ref="P23:U24"/>
    <mergeCell ref="V23:AB24"/>
    <mergeCell ref="P25:S26"/>
    <mergeCell ref="T25:AB26"/>
    <mergeCell ref="A38:C38"/>
    <mergeCell ref="M40:N40"/>
    <mergeCell ref="P40:U40"/>
    <mergeCell ref="A28:F28"/>
    <mergeCell ref="G28:I28"/>
    <mergeCell ref="J28:K28"/>
    <mergeCell ref="L28:O28"/>
    <mergeCell ref="X30:Y30"/>
    <mergeCell ref="AA30:AF30"/>
    <mergeCell ref="A19:A27"/>
  </mergeCells>
  <pageMargins left="0.20833333333333334" right="0.1875" top="0.40625" bottom="0.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Лист11">
    <tabColor rgb="FFFFFF00"/>
  </sheetPr>
  <dimension ref="A1:AK148"/>
  <sheetViews>
    <sheetView view="pageLayout" zoomScaleNormal="100" workbookViewId="0">
      <selection activeCell="AC3" sqref="AC3:AH3"/>
    </sheetView>
  </sheetViews>
  <sheetFormatPr defaultColWidth="2.77734375" defaultRowHeight="14.4" x14ac:dyDescent="0.3"/>
  <cols>
    <col min="1" max="38" width="2.77734375" style="5"/>
    <col min="39" max="39" width="3.21875" style="5" customWidth="1"/>
    <col min="40" max="16384" width="2.77734375" style="5"/>
  </cols>
  <sheetData>
    <row r="1" spans="1:37" s="6" customFormat="1" ht="15.6" x14ac:dyDescent="0.3">
      <c r="A1" s="90"/>
      <c r="B1" s="90"/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90"/>
      <c r="T1" s="90"/>
      <c r="U1" s="90"/>
      <c r="V1" s="90"/>
      <c r="W1" s="90"/>
      <c r="X1" s="90"/>
      <c r="Y1" s="90"/>
      <c r="Z1" s="90"/>
      <c r="AA1" s="90"/>
      <c r="AB1" s="90"/>
      <c r="AC1" s="90"/>
      <c r="AD1" s="90"/>
      <c r="AE1" s="90"/>
      <c r="AF1" s="90"/>
      <c r="AG1" s="90"/>
      <c r="AH1" s="90"/>
    </row>
    <row r="2" spans="1:37" ht="15.6" x14ac:dyDescent="0.3">
      <c r="A2" s="90"/>
      <c r="B2" s="90"/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</row>
    <row r="3" spans="1:37" x14ac:dyDescent="0.3">
      <c r="A3" s="5" t="str">
        <f>Лист1!A16&amp;Лист1!A48&amp;'Данные Клиента Продавца и Авто'!B2</f>
        <v>г. Екатеринбург</v>
      </c>
      <c r="X3" s="81"/>
      <c r="Y3" s="81"/>
      <c r="Z3" s="10"/>
      <c r="AC3" s="88" t="str">
        <f>Закрывашки!B4&amp;Лист1!A48&amp;Лист1!A16</f>
        <v>03.04.2022 г.</v>
      </c>
      <c r="AD3" s="89"/>
      <c r="AE3" s="89"/>
      <c r="AF3" s="89"/>
      <c r="AG3" s="89"/>
      <c r="AH3" s="89"/>
    </row>
    <row r="4" spans="1:37" ht="15" customHeight="1" x14ac:dyDescent="0.3"/>
    <row r="5" spans="1:37" ht="15" customHeight="1" x14ac:dyDescent="0.3"/>
    <row r="6" spans="1:37" ht="15" customHeight="1" x14ac:dyDescent="0.3"/>
    <row r="7" spans="1:37" ht="15" customHeight="1" x14ac:dyDescent="0.3"/>
    <row r="8" spans="1:37" ht="15" customHeight="1" x14ac:dyDescent="0.3"/>
    <row r="9" spans="1:37" ht="15" customHeight="1" x14ac:dyDescent="0.3"/>
    <row r="10" spans="1:37" x14ac:dyDescent="0.3">
      <c r="B10" s="21"/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AC10" s="3"/>
      <c r="AD10" s="3"/>
      <c r="AE10" s="3"/>
      <c r="AF10" s="3"/>
      <c r="AG10" s="3"/>
      <c r="AH10" s="3"/>
    </row>
    <row r="11" spans="1:37" x14ac:dyDescent="0.3">
      <c r="AC11" s="3"/>
      <c r="AD11" s="3"/>
      <c r="AE11" s="3"/>
      <c r="AF11" s="3"/>
      <c r="AG11" s="3"/>
      <c r="AH11" s="3"/>
    </row>
    <row r="12" spans="1:37" x14ac:dyDescent="0.3">
      <c r="A12" s="5" t="s">
        <v>172</v>
      </c>
      <c r="O12" s="89" t="str">
        <f>'Данные Клиента Продавца и Авто'!B3</f>
        <v>0810</v>
      </c>
      <c r="P12" s="89"/>
      <c r="Q12" s="5" t="s">
        <v>145</v>
      </c>
      <c r="R12" s="88" t="str">
        <f>'Данные Клиента Продавца и Авто'!B4&amp;Лист1!A48&amp;Лист1!A16</f>
        <v>19.09.2022 г.</v>
      </c>
      <c r="S12" s="89"/>
      <c r="T12" s="89"/>
      <c r="U12" s="89"/>
      <c r="V12" s="89"/>
      <c r="W12" s="89"/>
      <c r="X12" s="5" t="s">
        <v>173</v>
      </c>
      <c r="AC12" s="3"/>
      <c r="AD12" s="3"/>
      <c r="AE12" s="3"/>
      <c r="AF12" s="3"/>
      <c r="AG12" s="3"/>
      <c r="AH12" s="3"/>
    </row>
    <row r="13" spans="1:37" x14ac:dyDescent="0.3">
      <c r="A13" s="26" t="s">
        <v>228</v>
      </c>
      <c r="I13" s="179" t="e">
        <f ca="1">Закрывашки!B6&amp;Закрывашки!B7</f>
        <v>#NAME?</v>
      </c>
      <c r="J13" s="179"/>
      <c r="K13" s="179"/>
      <c r="L13" s="179"/>
      <c r="M13" s="179"/>
      <c r="N13" s="179"/>
      <c r="O13" s="179"/>
      <c r="P13" s="179"/>
      <c r="Q13" s="179"/>
      <c r="R13" s="179"/>
      <c r="S13" s="179"/>
      <c r="T13" s="179"/>
      <c r="U13" s="179"/>
      <c r="V13" s="179"/>
      <c r="W13" s="179"/>
      <c r="X13" s="179"/>
      <c r="Y13" s="179"/>
      <c r="Z13" s="179"/>
      <c r="AA13" s="179"/>
      <c r="AB13" s="179"/>
      <c r="AC13" s="179"/>
      <c r="AD13" s="179"/>
      <c r="AE13" s="179"/>
      <c r="AF13" s="179"/>
      <c r="AG13" s="179"/>
      <c r="AH13" s="179"/>
      <c r="AI13" s="33"/>
      <c r="AJ13" s="33"/>
      <c r="AK13" s="33"/>
    </row>
    <row r="14" spans="1:37" x14ac:dyDescent="0.3">
      <c r="A14" s="32" t="s">
        <v>234</v>
      </c>
    </row>
    <row r="15" spans="1:37" x14ac:dyDescent="0.3">
      <c r="A15" s="32" t="s">
        <v>235</v>
      </c>
      <c r="B15" s="88" t="str">
        <f>Закрывашки!B4&amp;Лист1!A48&amp;Лист1!A16</f>
        <v>03.04.2022 г.</v>
      </c>
      <c r="C15" s="89"/>
      <c r="D15" s="89"/>
      <c r="E15" s="89"/>
      <c r="F15" s="89"/>
      <c r="G15" s="89"/>
      <c r="AC15" s="3"/>
      <c r="AD15" s="3"/>
      <c r="AE15" s="3"/>
      <c r="AF15" s="3"/>
      <c r="AG15" s="3"/>
      <c r="AH15" s="3"/>
    </row>
    <row r="16" spans="1:37" x14ac:dyDescent="0.3">
      <c r="AC16" s="3"/>
      <c r="AD16" s="3"/>
      <c r="AE16" s="3"/>
      <c r="AF16" s="3"/>
      <c r="AG16" s="3"/>
      <c r="AH16" s="3"/>
    </row>
    <row r="17" spans="1:34" x14ac:dyDescent="0.3">
      <c r="A17" s="32" t="s">
        <v>236</v>
      </c>
      <c r="M17" s="141" t="e">
        <f ca="1">Закрывашки!B8&amp;Закрывашки!B9</f>
        <v>#NAME?</v>
      </c>
      <c r="N17" s="141"/>
      <c r="O17" s="141"/>
      <c r="P17" s="141"/>
      <c r="Q17" s="141"/>
      <c r="R17" s="141"/>
      <c r="S17" s="141"/>
      <c r="T17" s="141"/>
      <c r="U17" s="141"/>
      <c r="V17" s="141"/>
      <c r="W17" s="141"/>
      <c r="X17" s="141"/>
      <c r="Y17" s="141"/>
      <c r="Z17" s="141"/>
      <c r="AA17" s="141"/>
      <c r="AB17" s="141"/>
      <c r="AC17" s="141"/>
      <c r="AD17" s="141"/>
      <c r="AE17" s="141"/>
      <c r="AF17" s="141"/>
      <c r="AG17" s="141"/>
      <c r="AH17" s="141"/>
    </row>
    <row r="18" spans="1:34" x14ac:dyDescent="0.3">
      <c r="A18" s="32" t="s">
        <v>233</v>
      </c>
      <c r="AC18" s="3"/>
      <c r="AD18" s="3"/>
      <c r="AE18" s="3"/>
      <c r="AF18" s="3"/>
      <c r="AG18" s="3"/>
      <c r="AH18" s="3"/>
    </row>
    <row r="19" spans="1:34" x14ac:dyDescent="0.3">
      <c r="AC19" s="3"/>
      <c r="AD19" s="3"/>
      <c r="AE19" s="3"/>
      <c r="AF19" s="3"/>
      <c r="AG19" s="3"/>
      <c r="AH19" s="3"/>
    </row>
    <row r="20" spans="1:34" x14ac:dyDescent="0.3">
      <c r="A20" s="5" t="s">
        <v>174</v>
      </c>
      <c r="AC20" s="3"/>
      <c r="AD20" s="3"/>
      <c r="AE20" s="3"/>
      <c r="AF20" s="3"/>
      <c r="AG20" s="3"/>
      <c r="AH20" s="3"/>
    </row>
    <row r="21" spans="1:34" x14ac:dyDescent="0.3">
      <c r="A21" s="5" t="s">
        <v>175</v>
      </c>
      <c r="AC21" s="3"/>
      <c r="AD21" s="3"/>
      <c r="AE21" s="3"/>
      <c r="AF21" s="3"/>
      <c r="AG21" s="3"/>
      <c r="AH21" s="3"/>
    </row>
    <row r="22" spans="1:34" x14ac:dyDescent="0.3">
      <c r="AC22" s="3"/>
      <c r="AD22" s="3"/>
      <c r="AE22" s="3"/>
      <c r="AF22" s="3"/>
      <c r="AG22" s="3"/>
      <c r="AH22" s="3"/>
    </row>
    <row r="23" spans="1:34" x14ac:dyDescent="0.3">
      <c r="AC23" s="3"/>
      <c r="AD23" s="3"/>
      <c r="AE23" s="3"/>
      <c r="AF23" s="3"/>
      <c r="AG23" s="3"/>
      <c r="AH23" s="3"/>
    </row>
    <row r="24" spans="1:34" x14ac:dyDescent="0.3">
      <c r="AC24" s="3"/>
      <c r="AD24" s="3"/>
      <c r="AE24" s="3"/>
      <c r="AF24" s="3"/>
      <c r="AG24" s="3"/>
      <c r="AH24" s="3"/>
    </row>
    <row r="25" spans="1:34" x14ac:dyDescent="0.3">
      <c r="AC25" s="3"/>
      <c r="AD25" s="3"/>
      <c r="AE25" s="3"/>
      <c r="AF25" s="3"/>
      <c r="AG25" s="3"/>
      <c r="AH25" s="3"/>
    </row>
    <row r="29" spans="1:34" ht="15.6" x14ac:dyDescent="0.3">
      <c r="A29" s="1"/>
      <c r="J29" s="2"/>
    </row>
    <row r="148" ht="15.75" customHeight="1" x14ac:dyDescent="0.3"/>
  </sheetData>
  <mergeCells count="9">
    <mergeCell ref="B15:G15"/>
    <mergeCell ref="M17:AH17"/>
    <mergeCell ref="A1:AH1"/>
    <mergeCell ref="A2:AH2"/>
    <mergeCell ref="X3:Y3"/>
    <mergeCell ref="O12:P12"/>
    <mergeCell ref="R12:W12"/>
    <mergeCell ref="AC3:AH3"/>
    <mergeCell ref="I13:AH13"/>
  </mergeCells>
  <pageMargins left="0.27083333333333331" right="0.1875" top="0.40625" bottom="0.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17</vt:i4>
      </vt:variant>
      <vt:variant>
        <vt:lpstr>Именованные диапазоны</vt:lpstr>
      </vt:variant>
      <vt:variant>
        <vt:i4>8</vt:i4>
      </vt:variant>
    </vt:vector>
  </HeadingPairs>
  <TitlesOfParts>
    <vt:vector size="25" baseType="lpstr">
      <vt:lpstr>Лист1</vt:lpstr>
      <vt:lpstr>Данные Клиента Продавца и Авто</vt:lpstr>
      <vt:lpstr>Данные Продажи</vt:lpstr>
      <vt:lpstr>Закрывашки</vt:lpstr>
      <vt:lpstr>Карточка ИП</vt:lpstr>
      <vt:lpstr>Агенский договор без зачёта</vt:lpstr>
      <vt:lpstr>Агенский договор в зачёт</vt:lpstr>
      <vt:lpstr>Акт приёма-передачи</vt:lpstr>
      <vt:lpstr>Акт Сдачи услуг</vt:lpstr>
      <vt:lpstr>Отчёт Агента</vt:lpstr>
      <vt:lpstr>Доверенность</vt:lpstr>
      <vt:lpstr>Гарантийное письмо</vt:lpstr>
      <vt:lpstr>ДКП прямой</vt:lpstr>
      <vt:lpstr>ДКП прямой приём</vt:lpstr>
      <vt:lpstr>ДКП прямой продажа</vt:lpstr>
      <vt:lpstr>Отчёт Агента Бухг</vt:lpstr>
      <vt:lpstr>Акт Сдачи услуг Бухг</vt:lpstr>
      <vt:lpstr>'Агенский договор без зачёта'!_Hlk529531915</vt:lpstr>
      <vt:lpstr>'Агенский договор в зачёт'!_Hlk529531915</vt:lpstr>
      <vt:lpstr>Доверенность!_Hlk529531915</vt:lpstr>
      <vt:lpstr>'Агенский договор без зачёта'!_Hlk529531985</vt:lpstr>
      <vt:lpstr>'Агенский договор в зачёт'!_Hlk529531985</vt:lpstr>
      <vt:lpstr>Доверенность!_Hlk529531985</vt:lpstr>
      <vt:lpstr>'Агенский договор без зачёта'!_Hlk530316288</vt:lpstr>
      <vt:lpstr>'Агенский договор в зачёт'!_Hlk530316288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Алескандр Маврин</dc:creator>
  <cp:lastModifiedBy>honor</cp:lastModifiedBy>
  <cp:lastPrinted>2022-09-19T14:01:31Z</cp:lastPrinted>
  <dcterms:created xsi:type="dcterms:W3CDTF">2015-06-05T18:19:34Z</dcterms:created>
  <dcterms:modified xsi:type="dcterms:W3CDTF">2022-11-08T18:34:22Z</dcterms:modified>
</cp:coreProperties>
</file>